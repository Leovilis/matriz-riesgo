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hidePivotFieldList="1" defaultThemeVersion="166925"/>
  <mc:AlternateContent xmlns:mc="http://schemas.openxmlformats.org/markup-compatibility/2006">
    <mc:Choice Requires="x15">
      <x15ac:absPath xmlns:x15ac="http://schemas.microsoft.com/office/spreadsheetml/2010/11/ac" url="https://sleimansa.sharepoint.com/sites/Sistemas/Documentos compartidos/Calidad/"/>
    </mc:Choice>
  </mc:AlternateContent>
  <xr:revisionPtr revIDLastSave="0" documentId="8_{FE159BE8-C006-4336-804A-2276F9FEE736}" xr6:coauthVersionLast="47" xr6:coauthVersionMax="47" xr10:uidLastSave="{00000000-0000-0000-0000-000000000000}"/>
  <bookViews>
    <workbookView minimized="1" xWindow="2628" yWindow="2280" windowWidth="17280" windowHeight="8880" firstSheet="1" activeTab="1" xr2:uid="{00000000-000D-0000-FFFF-FFFF00000000}"/>
  </bookViews>
  <sheets>
    <sheet name="Mapa de procesos" sheetId="8" r:id="rId1"/>
    <sheet name="Matriz" sheetId="1" r:id="rId2"/>
    <sheet name="Referencias" sheetId="7"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5" i="1" l="1" a="1"/>
  <c r="H35" i="1" s="1"/>
  <c r="X35" i="1" a="1"/>
  <c r="X35" i="1" s="1"/>
  <c r="Y35" i="1"/>
  <c r="H34" i="1" a="1"/>
  <c r="H34" i="1" s="1"/>
  <c r="X34" i="1" a="1"/>
  <c r="X34" i="1" s="1"/>
  <c r="Y34" i="1" s="1"/>
  <c r="H33" i="1" a="1"/>
  <c r="H33" i="1" s="1"/>
  <c r="X33" i="1" a="1"/>
  <c r="X33" i="1" s="1"/>
  <c r="Y33" i="1" s="1"/>
  <c r="H32" i="1" a="1"/>
  <c r="H32" i="1" s="1"/>
  <c r="X32" i="1" a="1"/>
  <c r="X32" i="1" s="1"/>
  <c r="Y32" i="1" s="1"/>
  <c r="H31" i="1" a="1"/>
  <c r="H31" i="1" s="1"/>
  <c r="X31" i="1" a="1"/>
  <c r="X31" i="1" s="1"/>
  <c r="Y31" i="1" s="1"/>
  <c r="H29" i="1" a="1"/>
  <c r="H29" i="1" s="1"/>
  <c r="H30" i="1" a="1"/>
  <c r="H30" i="1" s="1"/>
  <c r="X29" i="1" a="1"/>
  <c r="X29" i="1" s="1"/>
  <c r="X30" i="1" a="1"/>
  <c r="X30" i="1" s="1"/>
  <c r="Y29" i="1"/>
  <c r="Y30" i="1"/>
  <c r="H27" i="1" a="1"/>
  <c r="H27" i="1" s="1"/>
  <c r="H28" i="1" a="1"/>
  <c r="H28" i="1" s="1"/>
  <c r="X27" i="1" a="1"/>
  <c r="X27" i="1" s="1"/>
  <c r="X28" i="1" a="1"/>
  <c r="X28" i="1" s="1"/>
  <c r="Y28" i="1" s="1"/>
  <c r="Y27" i="1"/>
  <c r="H26" i="1" a="1"/>
  <c r="H26" i="1" s="1"/>
  <c r="X26" i="1" a="1"/>
  <c r="X26" i="1" s="1"/>
  <c r="Y26" i="1" s="1"/>
  <c r="Y25" i="1"/>
  <c r="X10" i="1" a="1"/>
  <c r="X10" i="1" s="1"/>
  <c r="Y10" i="1" s="1"/>
  <c r="X11" i="1" a="1"/>
  <c r="X11" i="1" s="1"/>
  <c r="Y11" i="1" s="1"/>
  <c r="X12" i="1" a="1"/>
  <c r="X12" i="1" s="1"/>
  <c r="Y12" i="1" s="1"/>
  <c r="X13" i="1" a="1"/>
  <c r="X13" i="1" s="1"/>
  <c r="Y13" i="1" s="1"/>
  <c r="X14" i="1" a="1"/>
  <c r="X14" i="1" s="1"/>
  <c r="Y14" i="1" s="1"/>
  <c r="X15" i="1" a="1"/>
  <c r="X15" i="1" s="1"/>
  <c r="Y15" i="1" s="1"/>
  <c r="X16" i="1" a="1"/>
  <c r="X16" i="1" s="1"/>
  <c r="Y16" i="1" s="1"/>
  <c r="X17" i="1" a="1"/>
  <c r="X17" i="1" s="1"/>
  <c r="Y17" i="1" s="1"/>
  <c r="X18" i="1" a="1"/>
  <c r="X18" i="1" s="1"/>
  <c r="Y18" i="1" s="1"/>
  <c r="X19" i="1" a="1"/>
  <c r="X19" i="1" s="1"/>
  <c r="Y19" i="1" s="1"/>
  <c r="X20" i="1" a="1"/>
  <c r="X20" i="1" s="1"/>
  <c r="Y20" i="1" s="1"/>
  <c r="X21" i="1" a="1"/>
  <c r="X21" i="1" s="1"/>
  <c r="Y21" i="1" s="1"/>
  <c r="X22" i="1" a="1"/>
  <c r="X22" i="1" s="1"/>
  <c r="Y22" i="1" s="1"/>
  <c r="X23" i="1" a="1"/>
  <c r="X23" i="1" s="1"/>
  <c r="Y23" i="1" s="1"/>
  <c r="X24" i="1" a="1"/>
  <c r="X24" i="1" s="1"/>
  <c r="Y24" i="1" s="1"/>
  <c r="X25" i="1" a="1"/>
  <c r="X25" i="1" s="1"/>
  <c r="X9" i="1" a="1"/>
  <c r="X9" i="1" s="1"/>
  <c r="Y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9" i="1" a="1"/>
  <c r="H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<sst xmlns="http://schemas.openxmlformats.org/spreadsheetml/2006/main" count="471" uniqueCount="214">
  <si>
    <t>MAPA DE PROCESOS</t>
  </si>
  <si>
    <t>(pegue en esta pestaña su mapa de procesos)</t>
  </si>
  <si>
    <t>MATRIZ DE RIESGOS Y OPORTUNIDADES</t>
  </si>
  <si>
    <r>
      <t xml:space="preserve">N° VERSION: </t>
    </r>
    <r>
      <rPr>
        <sz val="10"/>
        <rFont val="Calibri"/>
        <family val="2"/>
      </rPr>
      <t>07</t>
    </r>
  </si>
  <si>
    <r>
      <t xml:space="preserve">REF: </t>
    </r>
    <r>
      <rPr>
        <sz val="10"/>
        <color rgb="FF000000"/>
        <rFont val="Calibri"/>
        <family val="2"/>
      </rPr>
      <t>F-GC-08</t>
    </r>
  </si>
  <si>
    <r>
      <t xml:space="preserve">Fecha de vigencia: </t>
    </r>
    <r>
      <rPr>
        <sz val="10"/>
        <rFont val="Calibri"/>
        <family val="2"/>
      </rPr>
      <t>18/02/2026</t>
    </r>
  </si>
  <si>
    <t>ELABORADO</t>
  </si>
  <si>
    <t>REVISADO</t>
  </si>
  <si>
    <t>APROBADO</t>
  </si>
  <si>
    <t>Analista de Calidad</t>
  </si>
  <si>
    <t>Coordinador de Calidad</t>
  </si>
  <si>
    <t>Documento de carácter RESERVADO. Su contenido es de uso interno. Se prohíbe su divulgación a terceros sin autorización expresa de Manzur Administraciones</t>
  </si>
  <si>
    <t>Fecha de última actualización de la matriz:</t>
  </si>
  <si>
    <t>IDENTIFICACIÓN Y EVALUACIÓN</t>
  </si>
  <si>
    <t>PLANIFICACIÓN</t>
  </si>
  <si>
    <t>SEGUIMIENTO</t>
  </si>
  <si>
    <t>EFICACIA</t>
  </si>
  <si>
    <r>
      <rPr>
        <sz val="11"/>
        <color theme="0"/>
        <rFont val="Calibri"/>
        <family val="2"/>
        <scheme val="minor"/>
      </rPr>
      <t xml:space="preserve">EVALUACIÓN DE </t>
    </r>
    <r>
      <rPr>
        <b/>
        <u/>
        <sz val="11"/>
        <color theme="0"/>
        <rFont val="Calibri"/>
        <family val="2"/>
        <scheme val="minor"/>
      </rPr>
      <t>RIESGO</t>
    </r>
    <r>
      <rPr>
        <b/>
        <sz val="11"/>
        <color theme="0"/>
        <rFont val="Calibri"/>
        <family val="2"/>
        <scheme val="minor"/>
      </rPr>
      <t xml:space="preserve"> </t>
    </r>
    <r>
      <rPr>
        <sz val="11"/>
        <color theme="0"/>
        <rFont val="Calibri"/>
        <family val="2"/>
        <scheme val="minor"/>
      </rPr>
      <t>RESIDUAL</t>
    </r>
  </si>
  <si>
    <t>Área</t>
  </si>
  <si>
    <t>Proceso</t>
  </si>
  <si>
    <t>Descripción del Riesgo u Oportunidad</t>
  </si>
  <si>
    <t>Descripción de la consecuencia</t>
  </si>
  <si>
    <t>Tipo: Riesgo/ Oportunidad</t>
  </si>
  <si>
    <t>Probabilidad de que ocurra</t>
  </si>
  <si>
    <t>Impacto que tendría si ocurre</t>
  </si>
  <si>
    <t>Criticidad</t>
  </si>
  <si>
    <t>Acciones</t>
  </si>
  <si>
    <t>Responsable</t>
  </si>
  <si>
    <t>Recursos</t>
  </si>
  <si>
    <t>Fecha comienzo</t>
  </si>
  <si>
    <t>Fecha fin</t>
  </si>
  <si>
    <t>Periodicidad de seguimiento</t>
  </si>
  <si>
    <t>Estado de las acciones</t>
  </si>
  <si>
    <t>PRIMER TRIMESTRE</t>
  </si>
  <si>
    <t>SEGUNDO TRIMESTRE</t>
  </si>
  <si>
    <t>TERCER TRIMESTRE</t>
  </si>
  <si>
    <t>CUARTO TRIMESTRE</t>
  </si>
  <si>
    <t>Resultado observado</t>
  </si>
  <si>
    <t>Declaración de eficacia</t>
  </si>
  <si>
    <t>Probabilidad de que ocurra2</t>
  </si>
  <si>
    <t>Impacto que tendría si ocurre2</t>
  </si>
  <si>
    <t>Criticidad2</t>
  </si>
  <si>
    <t>Recomendación del SGC
(mensaje automático)</t>
  </si>
  <si>
    <t>SISTEMAS</t>
  </si>
  <si>
    <t>Gestión de cambios tecnológicos</t>
  </si>
  <si>
    <t>Mejora de conectividad en sucursales del norte</t>
  </si>
  <si>
    <t>Facturación en tiempo real; Aumento de productividad</t>
  </si>
  <si>
    <t>Oportunidad</t>
  </si>
  <si>
    <t>Muy posible</t>
  </si>
  <si>
    <t>Alto impacto</t>
  </si>
  <si>
    <t>*Realización de pruebas de conectividad con Starlink
*Análisis de resultados del testeo
*Contratación del servicio Starlink</t>
  </si>
  <si>
    <t>Equipo de Sistemas</t>
  </si>
  <si>
    <t>Horas hombre
Contratación de Servicio Starlink en reemplazo del proveedor actual</t>
  </si>
  <si>
    <t>Semestral</t>
  </si>
  <si>
    <t>No iniciado</t>
  </si>
  <si>
    <t>Falta de información precisa y actualizada sobre el inventario de equipos y dispositivos asignados a los colaboradores.</t>
  </si>
  <si>
    <t>Falta de claridad sobre la cantidad y estado de los equipos o dispositivos asignados; Dificultad o demoras en la obtención de información actualizada del inventario cuando es requerida; Posibles inconsistencias entre los registros y la disponibilidad real de los activos.</t>
  </si>
  <si>
    <t>Riesgo</t>
  </si>
  <si>
    <t>Medio impacto</t>
  </si>
  <si>
    <t>*Evaluación y selección de un sistema de gestión de inventario adecuado a las necesidades de la organización.
*Actualización y regularización del inventario de equipos y dispositivos.
*Control de equipos y dispositivos de inventario durante visitas a sucursales.</t>
  </si>
  <si>
    <t>Horas hombre</t>
  </si>
  <si>
    <t>Anual</t>
  </si>
  <si>
    <t>En proceso</t>
  </si>
  <si>
    <t>Seguridad tecnológica</t>
  </si>
  <si>
    <t>Posibles vulnerabilidades frente a amenazas de ciberseguridad</t>
  </si>
  <si>
    <t>Robo de datos sensibles, confidenciales o estratégicos; Posible eliminación o encriptación de la información que puede ocasionar costos de recuperación de datos; Pérdida de ingresos por interrupción de operaciones</t>
  </si>
  <si>
    <t>Realizar la búsqueda y selección de personal especializado en ciberseguridad para su posterior contratación o asesoramiento, con el objetivo de evaluar las vulnerabilidades existentes y definir una metodología de trabajo en seguridad de la información.</t>
  </si>
  <si>
    <t>Facundo Ainstein</t>
  </si>
  <si>
    <t>Horas hombre
Pago al especialista</t>
  </si>
  <si>
    <t>Alto costo del proveedor de internet secundario en Badie Salta, con desempeño ineficiente del servicio</t>
  </si>
  <si>
    <t>Indisponibilidad de servicio a internet cuando se lo requiera; Posibles afectaciones a la operatoria; Afectación a la productividad</t>
  </si>
  <si>
    <t>Evaluar y cambiar el proveedor secundario en Badie Salta, Starlink y Failover con Corbalan</t>
  </si>
  <si>
    <t>Infraestructura</t>
  </si>
  <si>
    <t>El servidor que aloja las bases de Chess y Bejerman presenta falta de recursos de hardware</t>
  </si>
  <si>
    <t>Lentitud en el acceso a los sistemas y riesgo de fallas durante procesos críticos de operación</t>
  </si>
  <si>
    <t>Ampliar capacidad de almacenamiento y memoria RAM del servidor</t>
  </si>
  <si>
    <t>Leonardo Campos</t>
  </si>
  <si>
    <t>Compra de disco y memoria</t>
  </si>
  <si>
    <t>Bajo rendimiento del servidor Don Pedro durante picos de operación</t>
  </si>
  <si>
    <t>Demoras significativas durante la liquidación de cargas, afectando tiempos operativos</t>
  </si>
  <si>
    <t>Migrar la maquina virtual al servidor donde estan alojadas las demas bases o bien mejorar el rendimiento del servidor actual</t>
  </si>
  <si>
    <t>Compra de memoria en caso de actualizar el servidor</t>
  </si>
  <si>
    <t>Migración del sistema Tango a un servidor con mayores prestaciones</t>
  </si>
  <si>
    <t>Reducción de tiempos de reinicio y mejora en la estabilidad del sistema</t>
  </si>
  <si>
    <t>Algo posible</t>
  </si>
  <si>
    <t>Migrar la máquina virtual a un servidor de mayor capacidad</t>
  </si>
  <si>
    <t>Servidor
Horas hombre</t>
  </si>
  <si>
    <t>Vulnerabilidad ante posibles hackeos de cuentas de WhatsApp empresariales</t>
  </si>
  <si>
    <t>Pérdida de control de cuentas institucionales, envío de comunicaciones fraudulentas a clientes o colaboradores y posible daño reputacional y económico.</t>
  </si>
  <si>
    <t>Solicitar que el pedido lo realice directamente un superior y realizar el seguimiento</t>
  </si>
  <si>
    <t>Horas Hombre</t>
  </si>
  <si>
    <t>Bimestral</t>
  </si>
  <si>
    <t>Soporte tecnológico</t>
  </si>
  <si>
    <t xml:space="preserve">Limitación de licencias gratuitas del sistema Freshdesk (2 gratuitas) </t>
  </si>
  <si>
    <t>Imposibilita la creacion de usuario para el uso del sistema. Uso de herramienta para futuros ingresos al area o implementacion para otra area</t>
  </si>
  <si>
    <t>Bajo impacto</t>
  </si>
  <si>
    <t>Evaluar contratación de licencias adicionales o migración a una herramienta sin limites de usuarios</t>
  </si>
  <si>
    <t>Mauro Luna</t>
  </si>
  <si>
    <t>Contratación de licencias</t>
  </si>
  <si>
    <t>Uso de sistemas operativos de servidores sin soporte o desactualizados</t>
  </si>
  <si>
    <t>Mayor vulnerabilidad ante virus en servidores; Posibles errores en aplicaciones; Posibles accesos no autorizados; Indisponibilidad de servicios y posible pérdida o alteración de información</t>
  </si>
  <si>
    <t>Consultar con proveedores de sistemas Compatibilidad con Sistemas Operativos nuevos
Actualización de Sistema Operativos de Servidores</t>
  </si>
  <si>
    <t>Fuerte dependencia del proveedor Chess y limitaciones de acceso a bases de datos</t>
  </si>
  <si>
    <t>Dificultad para avanzar en proyectos integrales y dependencia operativa del proveedor</t>
  </si>
  <si>
    <t>*Busqueda de sistemas alternativos a Chess
*Demos de los sistemas ofrecidos
*Pruebas de sistemas para evaluar pro y contras</t>
  </si>
  <si>
    <t>Indisponibilidad de servidores luego de 1 hora de autonomía del UPS</t>
  </si>
  <si>
    <t>Interrupción del proceso de facturación y detención de operaciones críticas</t>
  </si>
  <si>
    <t>Instalación de Grupo Electrogeno en Rack de sistemas</t>
  </si>
  <si>
    <t>Compra de grupo Electrogeno
Mano de Obra para Instalacion</t>
  </si>
  <si>
    <t>Posibles instalaciones de aplicaciones no autorizadas</t>
  </si>
  <si>
    <t>Ejecución de software malicioso que afecte el funcionamiento de los sistemas y comprometa la información</t>
  </si>
  <si>
    <t>Poco posible o improbable</t>
  </si>
  <si>
    <t>El usuario al tener permiso de administrador puede realizar la instalación de aplicaciones, no obstante, los usuarios que tengan instalados Bejerman, por cuestiones de sistemas, deben tener permiso de administrador, por lo tanto se asume el riesgo y ante suceso de software malicioso se hace un backup de los archivos y se formatea el equipo.</t>
  </si>
  <si>
    <t>Horas hombre, conectividad</t>
  </si>
  <si>
    <t>Según ocurrencia</t>
  </si>
  <si>
    <r>
      <rPr>
        <sz val="10"/>
        <color rgb="FF000000"/>
        <rFont val="Calibri"/>
        <family val="2"/>
        <scheme val="minor"/>
      </rPr>
      <t xml:space="preserve">Desvío de recursos técnicos del área de sistemas hacia tareas operativas o administrativas ajenas al área, </t>
    </r>
    <r>
      <rPr>
        <b/>
        <sz val="10"/>
        <color rgb="FF000000"/>
        <rFont val="Calibri"/>
        <family val="2"/>
        <scheme val="minor"/>
      </rPr>
      <t>GESTIÓN DE CUENTAS CORRIENTES Y CAMBIOS DE PRECIO - BADIE</t>
    </r>
    <r>
      <rPr>
        <sz val="10"/>
        <color rgb="FF000000"/>
        <rFont val="Calibri"/>
        <family val="2"/>
        <scheme val="minor"/>
      </rPr>
      <t>, afectando la disponibilidad para tareas propias del sector.</t>
    </r>
  </si>
  <si>
    <t>Demoras en la ejecución de tareas; Dependencia absoluta del àrea de sistemas para ejecutar la tarea; Posible afectaciòn al soporte oportuno, puesto que la tarea administrativa puede ser solicitada con urgencia por un gerente u otro personal jeràrquico</t>
  </si>
  <si>
    <t>Solicitar que dispongan de al menos un personal para encargarse de la tarea. Brindar capacitación al personal comercial o administrativo para la gestión de cuentas corrientes y cambios de precio (Badie), con el fin de evitar la dependencia del área de sistemas en tareas no técnicas.</t>
  </si>
  <si>
    <t>Personal Comercial Horas Hombre</t>
  </si>
  <si>
    <r>
      <rPr>
        <sz val="10"/>
        <color rgb="FF000000"/>
        <rFont val="Calibri"/>
        <family val="2"/>
        <scheme val="minor"/>
      </rPr>
      <t xml:space="preserve">Desvío de recursos técnicos del área de sistemas hacia tareas operativas o administrativas ajenas al área, </t>
    </r>
    <r>
      <rPr>
        <b/>
        <sz val="10"/>
        <color rgb="FF000000"/>
        <rFont val="Calibri"/>
        <family val="2"/>
        <scheme val="minor"/>
      </rPr>
      <t>MODIF. DE MOV. DE STOCK</t>
    </r>
    <r>
      <rPr>
        <sz val="10"/>
        <color rgb="FF000000"/>
        <rFont val="Calibri"/>
        <family val="2"/>
        <scheme val="minor"/>
      </rPr>
      <t>, afectando la disponibilidad para tareas propias del sector.</t>
    </r>
  </si>
  <si>
    <t>Solicitar que dispongan de al menos un personal para encargarse de la tarea. Brindar capacitación al personal comercial o administrativo para la modificaciòn de movimientos de stock, con el fin de evitar la dependencia del área de sistemas en tareas no técnicas.</t>
  </si>
  <si>
    <t>Personal designado Horas Hombre</t>
  </si>
  <si>
    <t>Lentitud en la transmisiòn en video conferencias, en sala de reuniones de Direcciòn</t>
  </si>
  <si>
    <t>Malestar de dirección por pérdida de tiempo en reuniones; Percepción de trabajo no eficaz</t>
  </si>
  <si>
    <t>Cambio de Pc ubicada en sala de reunión</t>
  </si>
  <si>
    <t>Compra de PC para reemplazo</t>
  </si>
  <si>
    <t>Mejora de funcionamiento en red WiFi de administracion</t>
  </si>
  <si>
    <t>Mejora en la velocidad y estabilidad de acceso a sistemas; Incremento de la productividad del personal; Reducción de interrupciones y molestias operativas asociadas a fallas de conectividad.</t>
  </si>
  <si>
    <t>*Segmentar la red WiFi mediante la creación de una red corporativa y otra destinada a dispositivos externos o de invitados.
*Definir y comunicar nuevas credenciales de acceso seguras.
*Solicitar la evaluación e intervención de un especialista en redes.
*Gestionar la adquisición de equipamiento adecuado (routers, access points).
*Realizar testeo de canales y potencia para optimizar el rendimiento de la red.</t>
  </si>
  <si>
    <t>Pago a especialista
Horas hombre</t>
  </si>
  <si>
    <t>Introducción de virus a través de correos electronicos</t>
  </si>
  <si>
    <t>Robo de información laboral, daño de archivos, inutilización de equipos</t>
  </si>
  <si>
    <t>Concientización automática cada 3 meses a través de outlook</t>
  </si>
  <si>
    <t>Realización de backups de máquina virtual que utiliza el área Data Analytics en la nube de Microsoft e incorporarla al procedimiento de backup</t>
  </si>
  <si>
    <t>Evitar posible pérdida de datos</t>
  </si>
  <si>
    <t>Revisar funcionamiento de máquina virtual
Crear una copia de seguridad de la virtual
Incorporación al circuito de backup</t>
  </si>
  <si>
    <t>Alto costo que se paga actualmente por el servicio de correo y hosting del Manantial del SIlencio</t>
  </si>
  <si>
    <t>Costo elevado por el servicio</t>
  </si>
  <si>
    <t>Contrar el servicio Workspace de Google, previo analis sobre el uso las cuentas actuales</t>
  </si>
  <si>
    <t>Datos de las cuentas de correo actual sobre uso y configuracion</t>
  </si>
  <si>
    <t>Utilizar un servidor antiguo para maquinas virtuales de pruebas</t>
  </si>
  <si>
    <t>Tener un mejor control de las actualizaciones de los sistemas operativos, sistemas y mejorias en los programas a implementar en la organizacion</t>
  </si>
  <si>
    <t xml:space="preserve">Reutilizar el servidor IBM que anteriormente alojaba el servidor de FM Chess para Creación de Mvirtuales e instalación de sistemas operativos para realizar pruebas de actualizaciones y programas a implementar en los equipos finales </t>
  </si>
  <si>
    <t>Rodrigo Colqui</t>
  </si>
  <si>
    <t>Mantenimiento de equipos de red en viajes programados</t>
  </si>
  <si>
    <t>Disminución en la intermitencia de conexion en los equipos finales, cambio de equipos por mal funcionamiento</t>
  </si>
  <si>
    <t xml:space="preserve">Mantenimiento de equipos de red y cableado </t>
  </si>
  <si>
    <t>Ineficiencia operativa por limitaciones tecnológicas en reuniones matinales de preventistas (SR-BD norte)</t>
  </si>
  <si>
    <t>Baja efectividad de las reuniones matinales; Malentendidos en objetivos y mensajes comerciales; Pérdida de tiempo operativo del equipo de ventas.</t>
  </si>
  <si>
    <t>Elaboración de propuesta:
*Relevamiento de las salas disponibles y de la cantidad de los preventistas o personal que participa en las reuniones
*Análisis de equipos o dispositivos a implementar para poder realizar la presentación
*Búsqueda de alternativas de conexión de internet (mejora del servicio actual, starlink u otros)
Presentación de propuesta y espera a confirmación para implementar</t>
  </si>
  <si>
    <t>Horas hombre, vehículo, fondos, internet, computadora</t>
  </si>
  <si>
    <t>Mensual</t>
  </si>
  <si>
    <t>Implementación de servidor para Data Analytics (salta capital el cual va a ser usado para BD y SR) que podría representar vulnerabilidades en la información</t>
  </si>
  <si>
    <t>Pérdida de datos; Filtración de información; Dependencia del colaborador para la administración del servidor</t>
  </si>
  <si>
    <t>*Realizar una reunión con Coordinación Gral y Responsable de Data Analytics para informar el riesgo detectado y determinar acciones a implementar
*Ejecutar acciones acordadas con las partes
*Intervenir para el resguardo y administración del servidor</t>
  </si>
  <si>
    <t>Aumentar las licencias de team viewer para brindar soporte a diferentes usuarios en simultáneo</t>
  </si>
  <si>
    <t>Reducción de tiempo en el soporte; Soporte simultáneo; Mejora en los indicadores de soporte a los usuarios</t>
  </si>
  <si>
    <t xml:space="preserve">*Solicitar presupuesto a teamviewer
*Presentación a Dirección
*Suscripción
*Implementación </t>
  </si>
  <si>
    <t>Horas hombre, fondos para suscripción</t>
  </si>
  <si>
    <t>Todos</t>
  </si>
  <si>
    <t>Consultas al equipo fuera del horario laboral (urgencias y no urgencias)</t>
  </si>
  <si>
    <t>Posibles no resoluciones que pueden impactar en la operatoria; Afectación al bienestar del equipo; Afectación al clima laboral</t>
  </si>
  <si>
    <t>*Realizar un relevamiento por periodo de dos meses
*Clasificar el tipo de solicitud (urgente/no urgente; correspondiente al área/no correspondiente al área)
*Analizar las solicitudes y plantear acciones, proponerlas a Coordinación General</t>
  </si>
  <si>
    <t>Desarrollo de Software</t>
  </si>
  <si>
    <t>Desarrollar e implementar un sistema de selección de talentos para RRHH Soft</t>
  </si>
  <si>
    <t>Poder recibir y administrar un banco de CVs donde se pueda gestionar posibles nuevos ingresos a la empresa.</t>
  </si>
  <si>
    <t>Relevamiento de necesidades. Desarrollar un software a medida en base a las necesidades de RRHH Soft. Implementación</t>
  </si>
  <si>
    <t>Horas hombre, posible suscripcion a servicio de almacenamiento en la nube</t>
  </si>
  <si>
    <t>PROBABILIDAD</t>
  </si>
  <si>
    <t>MUY POSIBLE</t>
  </si>
  <si>
    <t>Medio</t>
  </si>
  <si>
    <t>Alto</t>
  </si>
  <si>
    <t>ALGO POSIBLE</t>
  </si>
  <si>
    <t>Baja</t>
  </si>
  <si>
    <t>POCO POSIBLE O IMPROBABLE</t>
  </si>
  <si>
    <t>BAJO IMPACTO</t>
  </si>
  <si>
    <t>MEDIO IMPACTO</t>
  </si>
  <si>
    <t>ALTO IMPACTO</t>
  </si>
  <si>
    <t>IMPACTO</t>
  </si>
  <si>
    <t>Referencias:</t>
  </si>
  <si>
    <t>Probabilidad</t>
  </si>
  <si>
    <t>Es probable que ocurra y puede repetirse varias veces en el año.</t>
  </si>
  <si>
    <t>Puede ocurrir en el desarrollo habitual del proceso, aunque no es frecuente.</t>
  </si>
  <si>
    <t>Ocurre de manera excepcional. No se espera en condiciones normales.</t>
  </si>
  <si>
    <t>Impacto</t>
  </si>
  <si>
    <t xml:space="preserve">Efecto significativo con consecuencias relevantes para el proceso o los objetivos del proceso. </t>
  </si>
  <si>
    <t>Efecto apreciable, requiere atención o ajustes.</t>
  </si>
  <si>
    <t>Efecto menor, poco perceptible en el desempeño del proceso.</t>
  </si>
  <si>
    <t>Alta</t>
  </si>
  <si>
    <t>Requiere acciones formales y seguimiento frecuente. El compromiso del equipo es clave para su gestión efectiva.</t>
  </si>
  <si>
    <t>Se podrán definir acciones cuando el equipo considere que su gestión agrega valor al proceso.</t>
  </si>
  <si>
    <t>Media</t>
  </si>
  <si>
    <t>Requiere definición de acciones y seguimiento planificado.</t>
  </si>
  <si>
    <t>N/A</t>
  </si>
  <si>
    <t>Áreas</t>
  </si>
  <si>
    <t>AUDITORÍA INTERNA</t>
  </si>
  <si>
    <t>AUDITORÍA PROD Y SERV</t>
  </si>
  <si>
    <t>COMPRAS</t>
  </si>
  <si>
    <t>CONTABLE</t>
  </si>
  <si>
    <t>CONTROL DE GESTIÓN</t>
  </si>
  <si>
    <t>DATA ANALYTICS</t>
  </si>
  <si>
    <t>FINANZAS</t>
  </si>
  <si>
    <t>GESTIÓN DE CALIDAD</t>
  </si>
  <si>
    <t>IMPUESTOS</t>
  </si>
  <si>
    <t>PLANIFICACIÓN ESTRATÉGICA</t>
  </si>
  <si>
    <t>RRHH HARD</t>
  </si>
  <si>
    <t>RRHH SOFT</t>
  </si>
  <si>
    <t>RSE</t>
  </si>
  <si>
    <t>Recomendación</t>
  </si>
  <si>
    <t>El riesgo residual es bajo. Si cree que conviene seguir controlándolo, genere una nueva fila y mantenga acciones.</t>
  </si>
  <si>
    <t>Es importante trabajar en reducir o controlar este riesgo residual. Debe generar una nueva fila con este riesgo y definir nuevas acciones para reducirlo o controlarlo.</t>
  </si>
  <si>
    <t>El riesgo residual es alarmante. Debe generar una nueva fila y definir nuevas acciones de manera obligatoria para reducirlo o controlarlo.</t>
  </si>
  <si>
    <t>No eficaz</t>
  </si>
  <si>
    <t>La oportunidad no dió los resultados esperados, pregúntese si sigue siendo importante para la organización. Si la respuesta es sí, genere una nueva fila y proponga nuevas acciones.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</si>
</sst>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28">
    <font>
      <sz val="11"/>
      <color rgb="FF000000"/>
      <name val="Calibri"/>
      <family val="2"/>
    </font>
    <font>
      <sz val="11"/>
      <color theme="1"/>
      <name val="Calibri"/>
      <family val="2"/>
      <scheme val="minor"/>
    </font>
    <font>
      <sz val="11"/>
      <color rgb="FF000000"/>
      <name val="Calibri"/>
      <family val="2"/>
    </font>
    <font>
      <sz val="10"/>
      <name val="Bitstream Vera Sans"/>
      <family val="2"/>
    </font>
    <font>
      <sz val="8"/>
      <name val="Calibri"/>
      <family val="2"/>
    </font>
    <font>
      <sz val="10"/>
      <name val="Calibri"/>
      <family val="2"/>
      <scheme val="minor"/>
    </font>
    <font>
      <b/>
      <sz val="10"/>
      <name val="Calibri"/>
      <family val="2"/>
      <scheme val="minor"/>
    </font>
    <font>
      <sz val="10"/>
      <color rgb="FF000000"/>
      <name val="Calibri"/>
      <family val="2"/>
      <scheme val="minor"/>
    </font>
    <font>
      <b/>
      <sz val="11"/>
      <color theme="0"/>
      <name val="Calibri"/>
      <family val="2"/>
      <scheme val="minor"/>
    </font>
    <font>
      <sz val="10"/>
      <color theme="1"/>
      <name val="Calibri"/>
      <family val="2"/>
      <scheme val="minor"/>
    </font>
    <font>
      <sz val="11"/>
      <name val="Calibri"/>
      <family val="2"/>
      <scheme val="minor"/>
    </font>
    <font>
      <b/>
      <sz val="11"/>
      <color rgb="FF000000"/>
      <name val="Calibri"/>
      <family val="2"/>
    </font>
    <font>
      <i/>
      <sz val="11"/>
      <color rgb="FF000000"/>
      <name val="Calibri"/>
      <family val="2"/>
    </font>
    <font>
      <sz val="11"/>
      <color theme="1"/>
      <name val="Calibri"/>
      <family val="2"/>
    </font>
    <font>
      <b/>
      <sz val="11"/>
      <color theme="0"/>
      <name val="Calibri"/>
      <family val="2"/>
    </font>
    <font>
      <b/>
      <i/>
      <sz val="11"/>
      <color theme="0"/>
      <name val="Calibri"/>
      <family val="2"/>
      <scheme val="minor"/>
    </font>
    <font>
      <b/>
      <sz val="10"/>
      <color rgb="FF000000"/>
      <name val="Calibri"/>
      <family val="2"/>
    </font>
    <font>
      <b/>
      <sz val="10"/>
      <name val="Calibri"/>
      <family val="2"/>
    </font>
    <font>
      <sz val="10"/>
      <name val="Calibri"/>
      <family val="2"/>
    </font>
    <font>
      <sz val="10"/>
      <color rgb="FF000000"/>
      <name val="Calibri"/>
      <family val="2"/>
    </font>
    <font>
      <b/>
      <sz val="9"/>
      <name val="Calibri"/>
      <family val="2"/>
    </font>
    <font>
      <sz val="9"/>
      <name val="Calibri"/>
      <family val="2"/>
    </font>
    <font>
      <i/>
      <sz val="9"/>
      <name val="Calibri"/>
      <family val="2"/>
    </font>
    <font>
      <b/>
      <u/>
      <sz val="11"/>
      <color theme="0"/>
      <name val="Calibri"/>
      <family val="2"/>
      <scheme val="minor"/>
    </font>
    <font>
      <b/>
      <sz val="18"/>
      <color theme="0"/>
      <name val="Calibri"/>
      <family val="2"/>
      <scheme val="minor"/>
    </font>
    <font>
      <sz val="11"/>
      <color theme="0"/>
      <name val="Calibri"/>
      <family val="2"/>
      <scheme val="minor"/>
    </font>
    <font>
      <sz val="10"/>
      <color rgb="FF000000"/>
      <name val="Calibri"/>
      <family val="2"/>
      <charset val="1"/>
    </font>
    <font>
      <b/>
      <sz val="10"/>
      <color rgb="FF000000"/>
      <name val="Calibri"/>
      <family val="2"/>
      <scheme val="minor"/>
    </font>
  </fonts>
  <fills count="17">
    <fill>
      <patternFill patternType="none"/>
    </fill>
    <fill>
      <patternFill patternType="gray125"/>
    </fill>
    <fill>
      <patternFill patternType="solid">
        <fgColor rgb="FFFF8181"/>
        <bgColor indexed="64"/>
      </patternFill>
    </fill>
    <fill>
      <patternFill patternType="solid">
        <fgColor rgb="FF0069B3"/>
        <bgColor indexed="13"/>
      </patternFill>
    </fill>
    <fill>
      <patternFill patternType="solid">
        <fgColor rgb="FF0069B3"/>
        <bgColor indexed="31"/>
      </patternFill>
    </fill>
    <fill>
      <patternFill patternType="solid">
        <fgColor theme="0" tint="-0.499984740745262"/>
        <bgColor indexed="31"/>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8181"/>
        <bgColor indexed="13"/>
      </patternFill>
    </fill>
    <fill>
      <patternFill patternType="solid">
        <fgColor rgb="FFFF8181"/>
        <bgColor indexed="43"/>
      </patternFill>
    </fill>
    <fill>
      <patternFill patternType="solid">
        <fgColor theme="4"/>
        <bgColor theme="4"/>
      </patternFill>
    </fill>
    <fill>
      <patternFill patternType="solid">
        <fgColor theme="0" tint="-0.499984740745262"/>
        <bgColor indexed="43"/>
      </patternFill>
    </fill>
    <fill>
      <patternFill patternType="solid">
        <fgColor rgb="FFFF8181"/>
        <bgColor indexed="31"/>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FF"/>
        <bgColor rgb="FFFFFFFF"/>
      </patternFill>
    </fill>
  </fills>
  <borders count="16">
    <border>
      <left/>
      <right/>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theme="4"/>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5">
    <xf numFmtId="0" fontId="0" fillId="0" borderId="0"/>
    <xf numFmtId="0" fontId="1" fillId="0" borderId="0"/>
    <xf numFmtId="164" fontId="3" fillId="0" borderId="0" applyFont="0" applyFill="0" applyBorder="0" applyAlignment="0" applyProtection="0"/>
    <xf numFmtId="0" fontId="2" fillId="0" borderId="0"/>
    <xf numFmtId="0" fontId="7" fillId="0" borderId="0"/>
  </cellStyleXfs>
  <cellXfs count="113">
    <xf numFmtId="0" fontId="0" fillId="0" borderId="0" xfId="0"/>
    <xf numFmtId="0" fontId="8" fillId="3" borderId="6" xfId="1" applyFont="1" applyFill="1" applyBorder="1" applyAlignment="1">
      <alignment horizontal="center" vertical="center" wrapText="1"/>
    </xf>
    <xf numFmtId="0" fontId="0" fillId="0" borderId="0" xfId="0" applyAlignment="1">
      <alignment horizontal="center" vertical="center" wrapText="1"/>
    </xf>
    <xf numFmtId="0" fontId="0" fillId="7" borderId="3" xfId="0" applyFill="1" applyBorder="1" applyAlignment="1">
      <alignment horizontal="center" vertical="center" wrapText="1"/>
    </xf>
    <xf numFmtId="0" fontId="0" fillId="2" borderId="3" xfId="0" applyFill="1" applyBorder="1" applyAlignment="1">
      <alignment horizontal="center" vertical="center" wrapText="1"/>
    </xf>
    <xf numFmtId="0" fontId="0" fillId="6" borderId="3" xfId="0" applyFill="1" applyBorder="1" applyAlignment="1">
      <alignment horizontal="center" vertical="center" wrapText="1"/>
    </xf>
    <xf numFmtId="0" fontId="12" fillId="0" borderId="5" xfId="0" applyFont="1" applyBorder="1" applyAlignment="1">
      <alignment horizontal="center" vertical="center" wrapText="1"/>
    </xf>
    <xf numFmtId="0" fontId="12" fillId="0" borderId="2" xfId="0" applyFont="1" applyBorder="1" applyAlignment="1">
      <alignment horizontal="center" vertical="center" wrapText="1"/>
    </xf>
    <xf numFmtId="0" fontId="13" fillId="0" borderId="8" xfId="0" applyFont="1" applyBorder="1"/>
    <xf numFmtId="0" fontId="14" fillId="10" borderId="0" xfId="0" applyFont="1" applyFill="1"/>
    <xf numFmtId="0" fontId="13" fillId="0" borderId="0" xfId="0" applyFont="1"/>
    <xf numFmtId="0" fontId="10" fillId="0" borderId="0" xfId="1" applyFont="1" applyAlignment="1">
      <alignment vertical="center" wrapText="1"/>
    </xf>
    <xf numFmtId="0" fontId="11" fillId="0" borderId="0" xfId="0" applyFont="1"/>
    <xf numFmtId="0" fontId="0" fillId="0" borderId="0" xfId="0" applyAlignment="1">
      <alignment horizontal="left" vertical="center"/>
    </xf>
    <xf numFmtId="0" fontId="0" fillId="0" borderId="7" xfId="0" applyBorder="1" applyAlignment="1">
      <alignment horizontal="left" vertical="center"/>
    </xf>
    <xf numFmtId="0" fontId="0" fillId="0" borderId="7" xfId="0" applyBorder="1"/>
    <xf numFmtId="0" fontId="0" fillId="0" borderId="7" xfId="0" applyBorder="1" applyAlignment="1">
      <alignment horizontal="left" vertical="center" wrapText="1"/>
    </xf>
    <xf numFmtId="0" fontId="5" fillId="0" borderId="0" xfId="1" applyFont="1" applyAlignment="1">
      <alignment vertical="center" wrapText="1"/>
    </xf>
    <xf numFmtId="0" fontId="5" fillId="0" borderId="0" xfId="1" applyFont="1" applyAlignment="1">
      <alignment horizontal="center" vertical="center"/>
    </xf>
    <xf numFmtId="0" fontId="8" fillId="3" borderId="10" xfId="1" applyFont="1" applyFill="1" applyBorder="1" applyAlignment="1">
      <alignment horizontal="center" vertical="center" wrapText="1"/>
    </xf>
    <xf numFmtId="0" fontId="8" fillId="8" borderId="6" xfId="1" applyFont="1" applyFill="1" applyBorder="1" applyAlignment="1">
      <alignment horizontal="center" vertical="center" wrapText="1"/>
    </xf>
    <xf numFmtId="49" fontId="8" fillId="5" borderId="6" xfId="1" applyNumberFormat="1" applyFont="1" applyFill="1" applyBorder="1" applyAlignment="1">
      <alignment horizontal="center" vertical="center" wrapText="1"/>
    </xf>
    <xf numFmtId="49" fontId="8" fillId="4" borderId="9"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49" fontId="8" fillId="12" borderId="6" xfId="1" applyNumberFormat="1" applyFont="1" applyFill="1" applyBorder="1" applyAlignment="1">
      <alignment horizontal="center" vertical="center" wrapText="1"/>
    </xf>
    <xf numFmtId="0" fontId="8" fillId="9" borderId="6" xfId="1" applyFont="1" applyFill="1" applyBorder="1" applyAlignment="1">
      <alignment horizontal="center" vertical="center" wrapText="1"/>
    </xf>
    <xf numFmtId="0" fontId="6" fillId="0" borderId="0" xfId="1" applyFont="1" applyAlignment="1">
      <alignment vertical="center" wrapText="1"/>
    </xf>
    <xf numFmtId="1" fontId="5" fillId="0" borderId="0" xfId="2" applyNumberFormat="1" applyFont="1" applyFill="1" applyBorder="1" applyAlignment="1">
      <alignment horizontal="center" vertical="center" wrapText="1"/>
    </xf>
    <xf numFmtId="0" fontId="9" fillId="0" borderId="0" xfId="0" applyFont="1" applyAlignment="1">
      <alignment horizontal="left" vertical="center" wrapText="1"/>
    </xf>
    <xf numFmtId="49" fontId="9" fillId="0" borderId="0" xfId="0" applyNumberFormat="1" applyFont="1" applyAlignment="1">
      <alignment horizontal="center" vertical="center" wrapText="1"/>
    </xf>
    <xf numFmtId="0" fontId="15" fillId="11" borderId="1" xfId="1" applyFont="1" applyFill="1" applyBorder="1" applyAlignment="1">
      <alignment horizontal="center" vertical="center" wrapText="1"/>
    </xf>
    <xf numFmtId="0" fontId="10" fillId="0" borderId="0" xfId="1" applyFont="1"/>
    <xf numFmtId="0" fontId="5" fillId="0" borderId="0" xfId="1" applyFont="1" applyAlignment="1">
      <alignment wrapText="1"/>
    </xf>
    <xf numFmtId="0" fontId="9" fillId="0" borderId="0" xfId="1" applyFont="1"/>
    <xf numFmtId="0" fontId="16" fillId="0" borderId="3" xfId="0" applyFont="1" applyBorder="1" applyAlignment="1">
      <alignment horizontal="left" vertical="center"/>
    </xf>
    <xf numFmtId="0" fontId="20" fillId="0" borderId="3" xfId="0" applyFont="1" applyBorder="1" applyAlignment="1">
      <alignment horizontal="center" vertical="center"/>
    </xf>
    <xf numFmtId="0" fontId="21" fillId="0" borderId="3" xfId="0" applyFont="1" applyBorder="1" applyAlignment="1">
      <alignment horizontal="center" vertical="center"/>
    </xf>
    <xf numFmtId="0" fontId="8" fillId="0" borderId="12" xfId="1" applyFont="1" applyBorder="1" applyAlignment="1">
      <alignment vertical="center" wrapText="1"/>
    </xf>
    <xf numFmtId="1" fontId="5" fillId="14" borderId="0" xfId="2" applyNumberFormat="1" applyFont="1" applyFill="1" applyBorder="1" applyAlignment="1">
      <alignment horizontal="center" vertical="center" wrapText="1"/>
    </xf>
    <xf numFmtId="0" fontId="5" fillId="14" borderId="0" xfId="1" applyFont="1" applyFill="1" applyAlignment="1">
      <alignment horizontal="left" vertical="center" wrapText="1"/>
    </xf>
    <xf numFmtId="0" fontId="12" fillId="0" borderId="0" xfId="0" applyFont="1"/>
    <xf numFmtId="1" fontId="5" fillId="0" borderId="0" xfId="2" applyNumberFormat="1" applyFont="1" applyFill="1" applyAlignment="1">
      <alignment horizontal="center" vertical="center" wrapText="1"/>
    </xf>
    <xf numFmtId="1" fontId="5" fillId="14" borderId="0" xfId="2" applyNumberFormat="1" applyFont="1" applyFill="1" applyAlignment="1">
      <alignment horizontal="center" vertical="center" wrapText="1"/>
    </xf>
    <xf numFmtId="0" fontId="9" fillId="0" borderId="0" xfId="1" applyFont="1" applyAlignment="1">
      <alignment horizontal="left" vertical="center" wrapText="1"/>
    </xf>
    <xf numFmtId="49" fontId="9" fillId="0" borderId="0" xfId="1" applyNumberFormat="1" applyFont="1" applyAlignment="1">
      <alignment horizontal="center" vertical="center" wrapText="1"/>
    </xf>
    <xf numFmtId="14" fontId="5" fillId="15" borderId="3" xfId="1" applyNumberFormat="1" applyFont="1" applyFill="1" applyBorder="1" applyAlignment="1">
      <alignment horizontal="left" vertical="center" wrapText="1"/>
    </xf>
    <xf numFmtId="0" fontId="5" fillId="0" borderId="14" xfId="1" applyFont="1" applyBorder="1" applyAlignment="1">
      <alignment vertical="center" wrapText="1"/>
    </xf>
    <xf numFmtId="0" fontId="5" fillId="0" borderId="14" xfId="1" quotePrefix="1" applyFont="1" applyBorder="1" applyAlignment="1">
      <alignment horizontal="center" vertical="center" wrapText="1"/>
    </xf>
    <xf numFmtId="1" fontId="5" fillId="0" borderId="14" xfId="2" applyNumberFormat="1" applyFont="1" applyFill="1" applyBorder="1" applyAlignment="1">
      <alignment horizontal="center" vertical="center" wrapText="1"/>
    </xf>
    <xf numFmtId="1" fontId="5" fillId="14" borderId="14" xfId="2" applyNumberFormat="1" applyFont="1" applyFill="1" applyBorder="1" applyAlignment="1">
      <alignment horizontal="center" vertical="center" wrapText="1"/>
    </xf>
    <xf numFmtId="14" fontId="9" fillId="0" borderId="14" xfId="0" applyNumberFormat="1" applyFont="1" applyBorder="1" applyAlignment="1">
      <alignment horizontal="center" vertical="center" wrapText="1"/>
    </xf>
    <xf numFmtId="0" fontId="5" fillId="0" borderId="15" xfId="1" applyFont="1" applyBorder="1" applyAlignment="1">
      <alignment vertical="center" wrapText="1"/>
    </xf>
    <xf numFmtId="0" fontId="5" fillId="0" borderId="15" xfId="1" quotePrefix="1" applyFont="1" applyBorder="1" applyAlignment="1">
      <alignment horizontal="center" vertical="center" wrapText="1"/>
    </xf>
    <xf numFmtId="1" fontId="5" fillId="0" borderId="15" xfId="2" applyNumberFormat="1" applyFont="1" applyFill="1" applyBorder="1" applyAlignment="1">
      <alignment horizontal="center" vertical="center" wrapText="1"/>
    </xf>
    <xf numFmtId="1" fontId="5" fillId="14" borderId="15" xfId="2" applyNumberFormat="1" applyFont="1" applyFill="1" applyBorder="1" applyAlignment="1">
      <alignment horizontal="center" vertical="center" wrapText="1"/>
    </xf>
    <xf numFmtId="14" fontId="9" fillId="0" borderId="15" xfId="0" applyNumberFormat="1" applyFont="1" applyBorder="1" applyAlignment="1">
      <alignment horizontal="center" vertical="center" wrapText="1"/>
    </xf>
    <xf numFmtId="0" fontId="6" fillId="0" borderId="14" xfId="1" applyFont="1" applyBorder="1" applyAlignment="1">
      <alignment vertical="center" wrapText="1"/>
    </xf>
    <xf numFmtId="0" fontId="5" fillId="0" borderId="14" xfId="1" applyFont="1" applyBorder="1" applyAlignment="1">
      <alignment horizontal="left" vertical="center" wrapText="1"/>
    </xf>
    <xf numFmtId="14" fontId="9" fillId="0" borderId="14" xfId="1" applyNumberFormat="1" applyFont="1" applyBorder="1" applyAlignment="1">
      <alignment horizontal="center" vertical="center" wrapText="1"/>
    </xf>
    <xf numFmtId="0" fontId="5" fillId="0" borderId="14" xfId="1" applyFont="1" applyBorder="1" applyAlignment="1">
      <alignment horizontal="center" vertical="center" wrapText="1"/>
    </xf>
    <xf numFmtId="0" fontId="9" fillId="0" borderId="14" xfId="1" applyFont="1" applyBorder="1" applyAlignment="1">
      <alignment horizontal="center" vertical="center" wrapText="1"/>
    </xf>
    <xf numFmtId="0" fontId="5" fillId="0" borderId="0" xfId="1" applyFont="1" applyAlignment="1">
      <alignment horizontal="center" vertical="center" wrapText="1"/>
    </xf>
    <xf numFmtId="14" fontId="9" fillId="0" borderId="0" xfId="1" applyNumberFormat="1" applyFont="1" applyAlignment="1">
      <alignment horizontal="center" vertical="center" wrapText="1"/>
    </xf>
    <xf numFmtId="0" fontId="9" fillId="0" borderId="0" xfId="1" applyFont="1" applyAlignment="1">
      <alignment horizontal="center" vertical="center" wrapText="1"/>
    </xf>
    <xf numFmtId="0" fontId="26" fillId="0" borderId="14" xfId="0" applyFont="1" applyBorder="1" applyAlignment="1">
      <alignment horizontal="left" vertical="center" wrapText="1"/>
    </xf>
    <xf numFmtId="0" fontId="5" fillId="0" borderId="0" xfId="1" applyFont="1" applyAlignment="1">
      <alignment horizontal="left" vertical="center" wrapText="1"/>
    </xf>
    <xf numFmtId="0" fontId="9" fillId="0" borderId="14" xfId="1" applyFont="1" applyBorder="1" applyAlignment="1">
      <alignment horizontal="left" vertical="center" wrapText="1"/>
    </xf>
    <xf numFmtId="49" fontId="8" fillId="4" borderId="5" xfId="1" applyNumberFormat="1" applyFont="1" applyFill="1" applyBorder="1" applyAlignment="1">
      <alignment horizontal="center" vertical="center" wrapText="1"/>
    </xf>
    <xf numFmtId="49" fontId="8" fillId="4" borderId="7" xfId="1" applyNumberFormat="1" applyFont="1" applyFill="1" applyBorder="1" applyAlignment="1">
      <alignment horizontal="center" vertical="center" wrapText="1"/>
    </xf>
    <xf numFmtId="49" fontId="8" fillId="4" borderId="4" xfId="1" applyNumberFormat="1" applyFont="1" applyFill="1" applyBorder="1" applyAlignment="1">
      <alignment horizontal="center" vertical="center" wrapText="1"/>
    </xf>
    <xf numFmtId="49" fontId="8" fillId="5" borderId="5" xfId="1" applyNumberFormat="1" applyFont="1" applyFill="1" applyBorder="1" applyAlignment="1">
      <alignment horizontal="center" vertical="center" wrapText="1"/>
    </xf>
    <xf numFmtId="49" fontId="8" fillId="5" borderId="7" xfId="1" applyNumberFormat="1" applyFont="1" applyFill="1" applyBorder="1" applyAlignment="1">
      <alignment horizontal="center" vertical="center" wrapText="1"/>
    </xf>
    <xf numFmtId="49" fontId="8" fillId="5" borderId="4" xfId="1" applyNumberFormat="1" applyFont="1" applyFill="1" applyBorder="1" applyAlignment="1">
      <alignment horizontal="center" vertical="center" wrapText="1"/>
    </xf>
    <xf numFmtId="0" fontId="8" fillId="9" borderId="3" xfId="1" applyFont="1" applyFill="1" applyBorder="1" applyAlignment="1">
      <alignment horizontal="center" vertical="center" wrapText="1"/>
    </xf>
    <xf numFmtId="0" fontId="8" fillId="3" borderId="7" xfId="1" applyFont="1" applyFill="1" applyBorder="1" applyAlignment="1">
      <alignment horizontal="center" vertical="center" wrapText="1"/>
    </xf>
    <xf numFmtId="0" fontId="8" fillId="3" borderId="4" xfId="1" applyFont="1" applyFill="1" applyBorder="1" applyAlignment="1">
      <alignment horizontal="center" vertical="center" wrapText="1"/>
    </xf>
    <xf numFmtId="0" fontId="6" fillId="13" borderId="3" xfId="1" applyFont="1" applyFill="1" applyBorder="1" applyAlignment="1">
      <alignment horizontal="left" vertical="center"/>
    </xf>
    <xf numFmtId="49" fontId="8" fillId="12" borderId="5" xfId="1" applyNumberFormat="1" applyFont="1" applyFill="1" applyBorder="1" applyAlignment="1">
      <alignment horizontal="center" vertical="center" wrapText="1"/>
    </xf>
    <xf numFmtId="49" fontId="8" fillId="12" borderId="4" xfId="1" applyNumberFormat="1" applyFont="1" applyFill="1" applyBorder="1" applyAlignment="1">
      <alignment horizontal="center" vertical="center" wrapText="1"/>
    </xf>
    <xf numFmtId="0" fontId="22" fillId="0" borderId="5"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4" xfId="0" applyFont="1" applyBorder="1" applyAlignment="1">
      <alignment horizontal="center" vertical="center" wrapText="1"/>
    </xf>
    <xf numFmtId="0" fontId="17" fillId="0" borderId="3" xfId="0" applyFont="1" applyBorder="1" applyAlignment="1">
      <alignment horizontal="left" vertical="center" wrapText="1"/>
    </xf>
    <xf numFmtId="0" fontId="17" fillId="0" borderId="10"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3" xfId="0" applyFont="1" applyBorder="1" applyAlignment="1">
      <alignment horizontal="center" vertical="center" wrapText="1"/>
    </xf>
    <xf numFmtId="0" fontId="20" fillId="0" borderId="5" xfId="0" applyFont="1" applyBorder="1" applyAlignment="1">
      <alignment horizontal="center" vertical="center"/>
    </xf>
    <xf numFmtId="0" fontId="20" fillId="0" borderId="7" xfId="0" applyFont="1" applyBorder="1" applyAlignment="1">
      <alignment horizontal="center" vertical="center"/>
    </xf>
    <xf numFmtId="0" fontId="20" fillId="0" borderId="4" xfId="0" applyFont="1" applyBorder="1" applyAlignment="1">
      <alignment horizontal="center" vertical="center"/>
    </xf>
    <xf numFmtId="0" fontId="21" fillId="0" borderId="5" xfId="0" applyFont="1" applyBorder="1" applyAlignment="1">
      <alignment horizontal="center" vertical="center"/>
    </xf>
    <xf numFmtId="0" fontId="21" fillId="0" borderId="7" xfId="0" applyFont="1" applyBorder="1" applyAlignment="1">
      <alignment horizontal="center" vertical="center"/>
    </xf>
    <xf numFmtId="0" fontId="21" fillId="0" borderId="4" xfId="0" applyFont="1" applyBorder="1" applyAlignment="1">
      <alignment horizontal="center" vertical="center"/>
    </xf>
    <xf numFmtId="0" fontId="20" fillId="0" borderId="3" xfId="0" applyFont="1" applyBorder="1" applyAlignment="1">
      <alignment horizontal="center" vertical="center"/>
    </xf>
    <xf numFmtId="0" fontId="21" fillId="0" borderId="3" xfId="0" applyFont="1" applyBorder="1" applyAlignment="1">
      <alignment horizontal="center" vertical="center"/>
    </xf>
    <xf numFmtId="0" fontId="24" fillId="3" borderId="7" xfId="1" applyFont="1" applyFill="1" applyBorder="1" applyAlignment="1">
      <alignment horizontal="center" vertical="center" wrapText="1"/>
    </xf>
    <xf numFmtId="0" fontId="24" fillId="3" borderId="4" xfId="1" applyFont="1" applyFill="1" applyBorder="1" applyAlignment="1">
      <alignment horizontal="center" vertical="center" wrapText="1"/>
    </xf>
    <xf numFmtId="0" fontId="11" fillId="0" borderId="3" xfId="0" applyFont="1" applyBorder="1" applyAlignment="1">
      <alignment horizontal="center" vertical="center" textRotation="90"/>
    </xf>
    <xf numFmtId="0" fontId="11" fillId="0" borderId="3" xfId="0" applyFont="1" applyBorder="1" applyAlignment="1">
      <alignment horizontal="center" vertical="center" wrapText="1"/>
    </xf>
    <xf numFmtId="0" fontId="5" fillId="0" borderId="15" xfId="1" applyFont="1" applyBorder="1" applyAlignment="1">
      <alignment horizontal="left" vertical="center" wrapText="1"/>
    </xf>
    <xf numFmtId="0" fontId="9" fillId="0" borderId="15" xfId="0" applyFont="1" applyBorder="1" applyAlignment="1">
      <alignment horizontal="left" vertical="center" wrapText="1"/>
    </xf>
    <xf numFmtId="0" fontId="5" fillId="0" borderId="15" xfId="0" applyFont="1" applyBorder="1" applyAlignment="1">
      <alignment horizontal="left" vertical="center" wrapText="1"/>
    </xf>
    <xf numFmtId="0" fontId="9" fillId="0" borderId="15" xfId="0" applyFont="1" applyBorder="1" applyAlignment="1">
      <alignment horizontal="center" vertical="center" wrapText="1"/>
    </xf>
    <xf numFmtId="0" fontId="9" fillId="0" borderId="14" xfId="0" applyFont="1" applyBorder="1" applyAlignment="1">
      <alignment horizontal="left" vertical="center" wrapText="1"/>
    </xf>
    <xf numFmtId="0" fontId="5" fillId="0" borderId="14" xfId="0" applyFont="1" applyBorder="1" applyAlignment="1">
      <alignment vertical="center" wrapText="1"/>
    </xf>
    <xf numFmtId="0" fontId="9" fillId="0" borderId="14" xfId="0" applyFont="1" applyBorder="1" applyAlignment="1">
      <alignment horizontal="center" vertical="center" wrapText="1"/>
    </xf>
    <xf numFmtId="0" fontId="9" fillId="0" borderId="14" xfId="0" applyFont="1" applyBorder="1" applyAlignment="1">
      <alignment vertical="center" wrapText="1"/>
    </xf>
    <xf numFmtId="0" fontId="9" fillId="16" borderId="14" xfId="0" applyFont="1" applyFill="1" applyBorder="1" applyAlignment="1">
      <alignment vertical="center" wrapText="1"/>
    </xf>
    <xf numFmtId="14" fontId="5" fillId="0" borderId="14" xfId="1" applyNumberFormat="1" applyFont="1" applyBorder="1" applyAlignment="1">
      <alignment horizontal="center" vertical="center" wrapText="1"/>
    </xf>
    <xf numFmtId="0" fontId="5" fillId="0" borderId="14" xfId="0" applyFont="1" applyBorder="1" applyAlignment="1">
      <alignment horizontal="center" vertical="center" wrapText="1"/>
    </xf>
    <xf numFmtId="0" fontId="7" fillId="0" borderId="14" xfId="1" applyFont="1" applyBorder="1" applyAlignment="1">
      <alignment horizontal="left" vertical="center" wrapText="1"/>
    </xf>
  </cellXfs>
  <cellStyles count="5">
    <cellStyle name="Millares 2" xfId="2" xr:uid="{00000000-0005-0000-0000-000000000000}"/>
    <cellStyle name="Normal" xfId="0" builtinId="0"/>
    <cellStyle name="Normal 2" xfId="1" xr:uid="{00000000-0005-0000-0000-000002000000}"/>
    <cellStyle name="Normal 3" xfId="3" xr:uid="{00000000-0005-0000-0000-000003000000}"/>
    <cellStyle name="Normal 4" xfId="4" xr:uid="{CE7CB536-3DA7-4146-AA6F-9BD7DEE3D1CE}"/>
  </cellStyles>
  <dxfs count="44">
    <dxf>
      <font>
        <b val="0"/>
        <i val="0"/>
        <strike val="0"/>
        <condense val="0"/>
        <extend val="0"/>
        <outline val="0"/>
        <shadow val="0"/>
        <u val="none"/>
        <vertAlign val="baseline"/>
        <sz val="11"/>
        <color theme="1"/>
        <name val="Calibri"/>
        <family val="2"/>
        <scheme val="none"/>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theme="4"/>
        </top>
        <bottom/>
        <vertical/>
        <horizontal/>
      </border>
    </dxf>
    <dxf>
      <border outline="0">
        <right style="thin">
          <color theme="4"/>
        </right>
        <top style="thin">
          <color theme="4"/>
        </top>
        <bottom style="thin">
          <color theme="4"/>
        </bottom>
      </border>
    </dxf>
    <dxf>
      <font>
        <b val="0"/>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1"/>
        <color theme="0"/>
        <name val="Calibri"/>
        <family val="2"/>
        <scheme val="none"/>
      </font>
      <fill>
        <patternFill patternType="solid">
          <fgColor theme="4"/>
          <bgColor theme="4"/>
        </patternFill>
      </fill>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0" tint="-0.249977111117893"/>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 formatCode="0"/>
      <fill>
        <patternFill patternType="solid">
          <fgColor indexed="64"/>
          <bgColor theme="0" tint="-0.249977111117893"/>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0" formatCode="@"/>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0" formatCode="@"/>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5" formatCode="d/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5" formatCode="d/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5" formatCode="d/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 formatCode="0"/>
      <fill>
        <patternFill patternType="solid">
          <fgColor indexed="64"/>
          <bgColor theme="0" tint="-0.249977111117893"/>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Calibri"/>
        <family val="2"/>
        <scheme val="minor"/>
      </font>
      <fill>
        <patternFill patternType="none">
          <fgColor indexed="64"/>
          <bgColor auto="1"/>
        </patternFill>
      </fill>
      <alignment horizontal="general" vertical="center" textRotation="0" wrapText="1" indent="0" justifyLastLine="0" shrinkToFit="0" readingOrder="0"/>
    </dxf>
    <dxf>
      <border outline="0">
        <right style="medium">
          <color indexed="64"/>
        </right>
      </border>
    </dxf>
    <dxf>
      <font>
        <strike val="0"/>
        <outline val="0"/>
        <shadow val="0"/>
        <u val="none"/>
        <vertAlign val="baseline"/>
        <sz val="10"/>
        <name val="Calibri"/>
        <family val="2"/>
        <scheme val="minor"/>
      </font>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solid">
          <fgColor indexed="43"/>
          <bgColor rgb="FF232C57"/>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val="0"/>
        <i val="0"/>
      </font>
      <fill>
        <patternFill>
          <bgColor theme="0" tint="-0.34998626667073579"/>
        </patternFill>
      </fill>
    </dxf>
    <dxf>
      <font>
        <color rgb="FF9C0006"/>
      </font>
      <fill>
        <patternFill>
          <bgColor rgb="FFFFC7CE"/>
        </patternFill>
      </fill>
    </dxf>
    <dxf>
      <font>
        <color rgb="FF9C5700"/>
      </font>
      <fill>
        <patternFill>
          <bgColor rgb="FFFFEB9C"/>
        </patternFill>
      </fill>
    </dxf>
    <dxf>
      <font>
        <color rgb="FF006100"/>
      </font>
      <fill>
        <patternFill patternType="solid">
          <bgColor rgb="FFC6E0B4"/>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8181"/>
      <color rgb="FF0070C0"/>
      <color rgb="FF0069B3"/>
      <color rgb="FF232C57"/>
      <color rgb="FF215A78"/>
      <color rgb="FFA6A6A6"/>
      <color rgb="FF00705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28575</xdr:rowOff>
    </xdr:from>
    <xdr:to>
      <xdr:col>8</xdr:col>
      <xdr:colOff>219075</xdr:colOff>
      <xdr:row>23</xdr:row>
      <xdr:rowOff>28575</xdr:rowOff>
    </xdr:to>
    <xdr:pic>
      <xdr:nvPicPr>
        <xdr:cNvPr id="3" name="Imagen 2">
          <a:extLst>
            <a:ext uri="{FF2B5EF4-FFF2-40B4-BE49-F238E27FC236}">
              <a16:creationId xmlns:a16="http://schemas.microsoft.com/office/drawing/2014/main" id="{F2F125AB-55B0-254C-0DD4-E0BA3580DB4A}"/>
            </a:ext>
          </a:extLst>
        </xdr:cNvPr>
        <xdr:cNvPicPr>
          <a:picLocks noChangeAspect="1"/>
        </xdr:cNvPicPr>
      </xdr:nvPicPr>
      <xdr:blipFill>
        <a:blip xmlns:r="http://schemas.openxmlformats.org/officeDocument/2006/relationships" r:embed="rId1"/>
        <a:stretch>
          <a:fillRect/>
        </a:stretch>
      </xdr:blipFill>
      <xdr:spPr>
        <a:xfrm>
          <a:off x="19050" y="323850"/>
          <a:ext cx="7467600" cy="419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242553</xdr:colOff>
      <xdr:row>0</xdr:row>
      <xdr:rowOff>52022</xdr:rowOff>
    </xdr:from>
    <xdr:ext cx="724418" cy="235194"/>
    <xdr:pic>
      <xdr:nvPicPr>
        <xdr:cNvPr id="3" name="Imagen 2">
          <a:extLst>
            <a:ext uri="{FF2B5EF4-FFF2-40B4-BE49-F238E27FC236}">
              <a16:creationId xmlns:a16="http://schemas.microsoft.com/office/drawing/2014/main" id="{3B999F3F-66B8-40BD-AEFD-2A640B6204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2553" y="52022"/>
          <a:ext cx="724418" cy="235194"/>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87415C-D8BE-400C-8FE7-16CCBF1DBC53}" name="Tabla1" displayName="Tabla1" ref="A8:Y35" totalsRowShown="0" headerRowDxfId="32" dataDxfId="31" tableBorderDxfId="30" headerRowCellStyle="Normal 2">
  <autoFilter ref="A8:Y35" xr:uid="{5B87415C-D8BE-400C-8FE7-16CCBF1DBC53}"/>
  <tableColumns count="25">
    <tableColumn id="3" xr3:uid="{9E0A5D8B-865F-4367-BBCD-E3EE89084288}" name="Área" dataDxfId="29" dataCellStyle="Normal 2"/>
    <tableColumn id="11" xr3:uid="{731706E2-A5A9-4F91-8174-00B812B5C5BB}" name="Proceso" dataDxfId="28" dataCellStyle="Normal 2"/>
    <tableColumn id="20" xr3:uid="{086E32FB-9C48-4D5C-8393-FF1866D5BC4E}" name="Descripción del Riesgo u Oportunidad" dataDxfId="27" dataCellStyle="Normal 2"/>
    <tableColumn id="21" xr3:uid="{76125614-5D2F-4B20-ACF9-EEC316DA8788}" name="Descripción de la consecuencia" dataDxfId="26" dataCellStyle="Normal 2"/>
    <tableColumn id="25" xr3:uid="{6A174033-8E32-45F0-9AC1-B66510A0BC08}" name="Tipo: Riesgo/ Oportunidad" dataDxfId="25" dataCellStyle="Normal 2"/>
    <tableColumn id="8" xr3:uid="{9EC8082C-4A52-4B79-B3E7-7A08C712C2D3}" name="Probabilidad de que ocurra" dataDxfId="24" dataCellStyle="Millares 2"/>
    <tableColumn id="9" xr3:uid="{41F40000-6EFD-4D19-B305-CB66964411E8}" name="Impacto que tendría si ocurre" dataDxfId="23" dataCellStyle="Millares 2"/>
    <tableColumn id="1" xr3:uid="{F5382CDA-9F97-4906-BA18-C0CDFDF128E0}" name="Criticidad" dataDxfId="22" dataCellStyle="Millares 2">
      <calculatedColumnFormula array="1">_xlfn.XLOOKUP(
  1,
  (Matriz!F9=Referencias!$A$19:$A$28)*(Matriz!G9=Referencias!$B$19:$B$28),
  Referencias!$C$19:$C$28,
  ""
)</calculatedColumnFormula>
    </tableColumn>
    <tableColumn id="12" xr3:uid="{B2CA8367-709B-4D50-BE2C-FB97EE51602B}" name="Acciones" dataDxfId="21" dataCellStyle="Normal 2"/>
    <tableColumn id="13" xr3:uid="{8F5E8D40-BA72-49B3-AB5A-A5B06B923699}" name="Responsable" dataDxfId="20"/>
    <tableColumn id="14" xr3:uid="{66CF2D57-4B60-49B2-AC4D-7D1410F6C22E}" name="Recursos" dataDxfId="19"/>
    <tableColumn id="15" xr3:uid="{CC876AC1-FB60-4AE6-8755-686B8302AECC}" name="Fecha comienzo" dataDxfId="18"/>
    <tableColumn id="16" xr3:uid="{FB9FDAE2-51D3-4429-80A6-CBBD312B885E}" name="Fecha fin" dataDxfId="17"/>
    <tableColumn id="17" xr3:uid="{626708F9-AE2D-4501-B735-7510C72FAE5F}" name="Periodicidad de seguimiento" dataDxfId="16"/>
    <tableColumn id="18" xr3:uid="{FD135D2C-D91C-4A27-83FF-2B9767936A99}" name="Estado de las acciones" dataDxfId="15"/>
    <tableColumn id="19" xr3:uid="{9353BB42-D2BB-45C5-873F-977A11877587}" name="PRIMER TRIMESTRE" dataDxfId="14"/>
    <tableColumn id="22" xr3:uid="{24C9B442-4138-4C7A-B30C-50D5138AF49D}" name="SEGUNDO TRIMESTRE" dataDxfId="13"/>
    <tableColumn id="23" xr3:uid="{CBD0A784-3C72-4F3B-9E54-3263A26DB837}" name="TERCER TRIMESTRE" dataDxfId="12"/>
    <tableColumn id="24" xr3:uid="{DBDD320E-E668-4C4B-9A17-65A3D1CBA4EB}" name="CUARTO TRIMESTRE" dataDxfId="11"/>
    <tableColumn id="4" xr3:uid="{09B5F4EA-B37A-4914-A12E-31B4E2DDD291}" name="Resultado observado" dataDxfId="10"/>
    <tableColumn id="38" xr3:uid="{CA914EBB-89A7-4BB1-BB5E-99AD4F572DEF}" name="Declaración de eficacia" dataDxfId="9"/>
    <tableColumn id="31" xr3:uid="{E3D7442E-BBAA-4AC1-B8E1-DAC589CF1534}" name="Probabilidad de que ocurra2" dataDxfId="8" dataCellStyle="Millares 2"/>
    <tableColumn id="32" xr3:uid="{361A7696-1E40-455C-8F89-0AEDF169CD62}" name="Impacto que tendría si ocurre2" dataDxfId="7" dataCellStyle="Millares 2"/>
    <tableColumn id="5" xr3:uid="{76873EA2-E914-4A29-840E-83272DA466EB}" name="Criticidad2" dataDxfId="6" dataCellStyle="Millares 2">
      <calculatedColumnFormula array="1">_xlfn.XLOOKUP(
  1,
  (Matriz!V9=Referencias!$A$19:$A$28)*(Matriz!W9=Referencias!$B$19:$B$28),
  Referencias!$C$19:$C$28,
  ""
)</calculatedColumnFormula>
    </tableColumn>
    <tableColumn id="39" xr3:uid="{5B0DDEFC-9EA1-4146-A7F3-EFF181F43EE5}" name="Recomendación del SGC_x000a_(mensaje automático)" dataDxfId="5" dataCellStyle="Normal 2">
      <calculatedColumnFormula>IFERROR(IF(
   E9="Riesgo",
   VLOOKUP(Tabla1[[#This Row],[Criticidad2]], Referencias!$A$47:$B$49, 2, FALSE),
   IF(
      AND(E9="Oportunidad", U9="No eficaz"),
      VLOOKUP(U9, Referencias!$A$50:$B$50, 2, FALSE),
      ""
   )
),"")</calculatedColumnFormula>
    </tableColumn>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BECB1A-0532-4007-ACC2-A847CF8DAD7D}" name="Tabla2" displayName="Tabla2" ref="A18:C28" totalsRowShown="0">
  <tableColumns count="3">
    <tableColumn id="1" xr3:uid="{EBA05540-93DE-4EC6-BE9A-D637B5945D05}" name="Probabilidad"/>
    <tableColumn id="2" xr3:uid="{6B955D6A-8BBE-4A0F-B673-13483AEB4A64}" name="Impacto"/>
    <tableColumn id="3" xr3:uid="{9C2E7701-FF4E-47F2-A88C-F3DA938613FA}" name="Criticida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6FD2AA-E669-44C6-9E31-1A51496AF5A4}" name="Tabla3" displayName="Tabla3" ref="A30:A44" totalsRowShown="0">
  <autoFilter ref="A30:A44" xr:uid="{B76FD2AA-E669-44C6-9E31-1A51496AF5A4}"/>
  <tableColumns count="1">
    <tableColumn id="1" xr3:uid="{62CEA7D3-9C5E-4452-B415-495A0AD6CD12}" name="Área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E04E35-63CC-4EAD-B18A-85C345213C78}" name="Tabla4" displayName="Tabla4" ref="A46:B50" totalsRowShown="0" headerRowDxfId="4" dataDxfId="3" tableBorderDxfId="2">
  <autoFilter ref="A46:B50" xr:uid="{44E04E35-63CC-4EAD-B18A-85C345213C78}"/>
  <tableColumns count="2">
    <tableColumn id="1" xr3:uid="{9CEB564D-A3B1-433A-BDE2-C3925799E55B}" name="Criticidad" dataDxfId="1"/>
    <tableColumn id="2" xr3:uid="{2DDF99ED-C2B0-4BC4-B99D-4E1E730D7FA5}" name="Recomendació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BC605-502B-4E81-B8B6-6EBA952CF4AD}">
  <dimension ref="A1:H2"/>
  <sheetViews>
    <sheetView zoomScale="84" workbookViewId="0">
      <selection activeCell="A5" sqref="A5"/>
    </sheetView>
  </sheetViews>
  <sheetFormatPr defaultColWidth="11.42578125" defaultRowHeight="14.45"/>
  <cols>
    <col min="1" max="1" width="29" customWidth="1"/>
  </cols>
  <sheetData>
    <row r="1" spans="1:8" ht="23.45">
      <c r="A1" s="97" t="s">
        <v>0</v>
      </c>
      <c r="B1" s="97"/>
      <c r="C1" s="97"/>
      <c r="D1" s="97"/>
      <c r="E1" s="97"/>
      <c r="F1" s="97"/>
      <c r="G1" s="97"/>
      <c r="H1" s="98"/>
    </row>
    <row r="2" spans="1:8">
      <c r="A2" s="40" t="s">
        <v>1</v>
      </c>
    </row>
  </sheetData>
  <mergeCells count="1">
    <mergeCell ref="A1:H1"/>
  </mergeCells>
  <conditionalFormatting sqref="A1">
    <cfRule type="containsText" dxfId="43" priority="1" operator="containsText" text="Oportunidad">
      <formula>NOT(ISERROR(SEARCH("Oportunidad",A1)))</formula>
    </cfRule>
    <cfRule type="containsText" dxfId="42" priority="2" operator="containsText" text="Riesgo">
      <formula>NOT(ISERROR(SEARCH("Riesgo",A1)))</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35"/>
  <sheetViews>
    <sheetView showGridLines="0" tabSelected="1" topLeftCell="C2" zoomScale="90" zoomScaleNormal="90" zoomScaleSheetLayoutView="70" workbookViewId="0">
      <selection activeCell="D36" sqref="D36"/>
    </sheetView>
  </sheetViews>
  <sheetFormatPr defaultColWidth="39.5703125" defaultRowHeight="13.9"/>
  <cols>
    <col min="1" max="1" width="16.85546875" style="17" customWidth="1"/>
    <col min="2" max="2" width="14.85546875" style="17" customWidth="1"/>
    <col min="3" max="3" width="33.85546875" style="17" customWidth="1"/>
    <col min="4" max="4" width="39.5703125" style="17"/>
    <col min="5" max="5" width="12.140625" style="17" customWidth="1"/>
    <col min="6" max="6" width="11.85546875" style="17" customWidth="1"/>
    <col min="7" max="7" width="11.140625" style="18" customWidth="1"/>
    <col min="8" max="8" width="9.85546875" style="18" customWidth="1"/>
    <col min="9" max="9" width="40.42578125" style="18" bestFit="1" customWidth="1"/>
    <col min="10" max="10" width="11.5703125" style="17" customWidth="1"/>
    <col min="11" max="11" width="15" style="17" customWidth="1"/>
    <col min="12" max="13" width="10.85546875" style="17" customWidth="1"/>
    <col min="14" max="14" width="12" style="17" customWidth="1"/>
    <col min="15" max="15" width="11.28515625" style="17" customWidth="1"/>
    <col min="16" max="16" width="22.7109375" style="17" bestFit="1" customWidth="1"/>
    <col min="17" max="17" width="24.85546875" style="17" bestFit="1" customWidth="1"/>
    <col min="18" max="18" width="22.28515625" style="17" bestFit="1" customWidth="1"/>
    <col min="19" max="19" width="23.28515625" style="17" bestFit="1" customWidth="1"/>
    <col min="20" max="20" width="24.42578125" style="17" bestFit="1" customWidth="1"/>
    <col min="21" max="21" width="26" style="17" bestFit="1" customWidth="1"/>
    <col min="22" max="22" width="31" style="17" bestFit="1" customWidth="1"/>
    <col min="23" max="23" width="33.140625" style="17" bestFit="1" customWidth="1"/>
    <col min="24" max="24" width="15.42578125" style="17" bestFit="1" customWidth="1"/>
    <col min="25" max="25" width="27.5703125" style="17" bestFit="1" customWidth="1"/>
    <col min="26" max="16384" width="39.5703125" style="33"/>
  </cols>
  <sheetData>
    <row r="1" spans="1:25" ht="27.6" customHeight="1">
      <c r="A1" s="34"/>
      <c r="B1" s="83" t="s">
        <v>2</v>
      </c>
      <c r="C1" s="84"/>
      <c r="D1" s="84"/>
      <c r="E1" s="84"/>
      <c r="F1" s="85"/>
      <c r="G1" s="82" t="s">
        <v>3</v>
      </c>
      <c r="H1" s="82"/>
    </row>
    <row r="2" spans="1:25">
      <c r="A2" s="34" t="s">
        <v>4</v>
      </c>
      <c r="B2" s="86"/>
      <c r="C2" s="87"/>
      <c r="D2" s="87"/>
      <c r="E2" s="87"/>
      <c r="F2" s="88"/>
      <c r="G2" s="82" t="s">
        <v>5</v>
      </c>
      <c r="H2" s="82"/>
    </row>
    <row r="3" spans="1:25">
      <c r="A3" s="35" t="s">
        <v>6</v>
      </c>
      <c r="B3" s="89" t="s">
        <v>7</v>
      </c>
      <c r="C3" s="90"/>
      <c r="D3" s="90"/>
      <c r="E3" s="90"/>
      <c r="F3" s="91"/>
      <c r="G3" s="95" t="s">
        <v>8</v>
      </c>
      <c r="H3" s="95"/>
    </row>
    <row r="4" spans="1:25">
      <c r="A4" s="36" t="s">
        <v>9</v>
      </c>
      <c r="B4" s="92" t="s">
        <v>10</v>
      </c>
      <c r="C4" s="93"/>
      <c r="D4" s="93"/>
      <c r="E4" s="93"/>
      <c r="F4" s="94"/>
      <c r="G4" s="96" t="s">
        <v>10</v>
      </c>
      <c r="H4" s="96"/>
    </row>
    <row r="5" spans="1:25" ht="13.9" customHeight="1">
      <c r="A5" s="79" t="s">
        <v>11</v>
      </c>
      <c r="B5" s="80"/>
      <c r="C5" s="80"/>
      <c r="D5" s="80"/>
      <c r="E5" s="80"/>
      <c r="F5" s="80"/>
      <c r="G5" s="80"/>
      <c r="H5" s="81"/>
    </row>
    <row r="6" spans="1:25">
      <c r="A6" s="76" t="s">
        <v>12</v>
      </c>
      <c r="B6" s="76"/>
      <c r="C6" s="45">
        <v>46099</v>
      </c>
    </row>
    <row r="7" spans="1:25" s="11" customFormat="1" ht="14.45">
      <c r="A7" s="74" t="s">
        <v>13</v>
      </c>
      <c r="B7" s="74"/>
      <c r="C7" s="74"/>
      <c r="D7" s="74"/>
      <c r="E7" s="74"/>
      <c r="F7" s="74"/>
      <c r="G7" s="74"/>
      <c r="H7" s="75"/>
      <c r="I7" s="70" t="s">
        <v>14</v>
      </c>
      <c r="J7" s="71"/>
      <c r="K7" s="71"/>
      <c r="L7" s="71"/>
      <c r="M7" s="71"/>
      <c r="N7" s="72"/>
      <c r="O7" s="67" t="s">
        <v>15</v>
      </c>
      <c r="P7" s="68"/>
      <c r="Q7" s="68"/>
      <c r="R7" s="68"/>
      <c r="S7" s="69"/>
      <c r="T7" s="77" t="s">
        <v>16</v>
      </c>
      <c r="U7" s="78"/>
      <c r="V7" s="73" t="s">
        <v>17</v>
      </c>
      <c r="W7" s="73"/>
      <c r="X7" s="73"/>
      <c r="Y7" s="37"/>
    </row>
    <row r="8" spans="1:25" s="31" customFormat="1" ht="57.6" customHeight="1">
      <c r="A8" s="1" t="s">
        <v>18</v>
      </c>
      <c r="B8" s="1" t="s">
        <v>19</v>
      </c>
      <c r="C8" s="19" t="s">
        <v>20</v>
      </c>
      <c r="D8" s="1" t="s">
        <v>21</v>
      </c>
      <c r="E8" s="1" t="s">
        <v>22</v>
      </c>
      <c r="F8" s="20" t="s">
        <v>23</v>
      </c>
      <c r="G8" s="20" t="s">
        <v>24</v>
      </c>
      <c r="H8" s="20" t="s">
        <v>25</v>
      </c>
      <c r="I8" s="21" t="s">
        <v>26</v>
      </c>
      <c r="J8" s="21" t="s">
        <v>27</v>
      </c>
      <c r="K8" s="21" t="s">
        <v>28</v>
      </c>
      <c r="L8" s="21" t="s">
        <v>29</v>
      </c>
      <c r="M8" s="21" t="s">
        <v>30</v>
      </c>
      <c r="N8" s="21" t="s">
        <v>31</v>
      </c>
      <c r="O8" s="22" t="s">
        <v>32</v>
      </c>
      <c r="P8" s="23" t="s">
        <v>33</v>
      </c>
      <c r="Q8" s="23" t="s">
        <v>34</v>
      </c>
      <c r="R8" s="23" t="s">
        <v>35</v>
      </c>
      <c r="S8" s="23" t="s">
        <v>36</v>
      </c>
      <c r="T8" s="24" t="s">
        <v>37</v>
      </c>
      <c r="U8" s="24" t="s">
        <v>38</v>
      </c>
      <c r="V8" s="25" t="s">
        <v>39</v>
      </c>
      <c r="W8" s="25" t="s">
        <v>40</v>
      </c>
      <c r="X8" s="25" t="s">
        <v>41</v>
      </c>
      <c r="Y8" s="30" t="s">
        <v>42</v>
      </c>
    </row>
    <row r="9" spans="1:25" s="32" customFormat="1" ht="69">
      <c r="A9" s="26" t="s">
        <v>43</v>
      </c>
      <c r="B9" s="51" t="s">
        <v>44</v>
      </c>
      <c r="C9" s="101" t="s">
        <v>45</v>
      </c>
      <c r="D9" s="101" t="s">
        <v>46</v>
      </c>
      <c r="E9" s="52" t="s">
        <v>47</v>
      </c>
      <c r="F9" s="53" t="s">
        <v>48</v>
      </c>
      <c r="G9" s="53" t="s">
        <v>49</v>
      </c>
      <c r="H9" s="54" t="str" cm="1">
        <f t="array" ref="H9">_xlfn.XLOOKUP(
  1,
  (Matriz!F9=Referencias!$A$19:$A$28)*(Matriz!G9=Referencias!$B$19:$B$28),
  Referencias!$C$19:$C$28,
  ""
)</f>
        <v>Alta</v>
      </c>
      <c r="I9" s="51" t="s">
        <v>50</v>
      </c>
      <c r="J9" s="102" t="s">
        <v>51</v>
      </c>
      <c r="K9" s="103" t="s">
        <v>52</v>
      </c>
      <c r="L9" s="55">
        <v>46116</v>
      </c>
      <c r="M9" s="55">
        <v>46387</v>
      </c>
      <c r="N9" s="104" t="s">
        <v>53</v>
      </c>
      <c r="O9" s="55" t="s">
        <v>54</v>
      </c>
      <c r="P9" s="28"/>
      <c r="Q9" s="28"/>
      <c r="R9" s="28"/>
      <c r="S9" s="28"/>
      <c r="T9" s="29"/>
      <c r="U9" s="29"/>
      <c r="V9" s="27"/>
      <c r="W9" s="27"/>
      <c r="X9" s="38" t="str" cm="1">
        <f t="array" ref="X9">_xlfn.XLOOKUP(
  1,
  (Matriz!V9=Referencias!$A$19:$A$28)*(Matriz!W9=Referencias!$B$19:$B$28),
  Referencias!$C$19:$C$28,
  ""
)</f>
        <v/>
      </c>
      <c r="Y9" s="39" t="str">
        <f>IFERROR(IF(
   E9="Riesgo",
   VLOOKUP(Tabla1[[#This Row],[Criticidad2]], Referencias!$A$47:$B$49, 2, FALSE),
   IF(
      AND(E9="Oportunidad", U9="No eficaz"),
      VLOOKUP(U9, Referencias!$A$50:$B$50, 2, FALSE),
      ""
   )
),"")</f>
        <v/>
      </c>
    </row>
    <row r="10" spans="1:25" s="32" customFormat="1" ht="102.75" customHeight="1">
      <c r="A10" s="56" t="s">
        <v>43</v>
      </c>
      <c r="B10" s="46" t="s">
        <v>44</v>
      </c>
      <c r="C10" s="57" t="s">
        <v>55</v>
      </c>
      <c r="D10" s="57" t="s">
        <v>56</v>
      </c>
      <c r="E10" s="47" t="s">
        <v>57</v>
      </c>
      <c r="F10" s="48" t="s">
        <v>48</v>
      </c>
      <c r="G10" s="48" t="s">
        <v>58</v>
      </c>
      <c r="H10" s="49" t="str" cm="1">
        <f t="array" ref="H10">_xlfn.XLOOKUP(
  1,
  (Matriz!F10=Referencias!$A$19:$A$28)*(Matriz!G10=Referencias!$B$19:$B$28),
  Referencias!$C$19:$C$28,
  ""
)</f>
        <v>Alta</v>
      </c>
      <c r="I10" s="57" t="s">
        <v>59</v>
      </c>
      <c r="J10" s="105" t="s">
        <v>51</v>
      </c>
      <c r="K10" s="106" t="s">
        <v>60</v>
      </c>
      <c r="L10" s="50">
        <v>45782</v>
      </c>
      <c r="M10" s="50">
        <v>46142</v>
      </c>
      <c r="N10" s="107" t="s">
        <v>61</v>
      </c>
      <c r="O10" s="50" t="s">
        <v>62</v>
      </c>
      <c r="P10" s="28"/>
      <c r="Q10" s="28"/>
      <c r="R10" s="28"/>
      <c r="S10" s="28"/>
      <c r="T10" s="29"/>
      <c r="U10" s="29"/>
      <c r="V10" s="27"/>
      <c r="W10" s="27"/>
      <c r="X10" s="38" t="str" cm="1">
        <f t="array" ref="X10">_xlfn.XLOOKUP(
  1,
  (Matriz!V10=Referencias!$A$19:$A$28)*(Matriz!W10=Referencias!$B$19:$B$28),
  Referencias!$C$19:$C$28,
  ""
)</f>
        <v/>
      </c>
      <c r="Y10" s="39" t="str">
        <f>IFERROR(IF(
   E10="Riesgo",
   VLOOKUP(Tabla1[[#This Row],[Criticidad2]], Referencias!$A$47:$B$49, 2, FALSE),
   IF(
      AND(E10="Oportunidad", U10="No eficaz"),
      VLOOKUP(U10, Referencias!$A$50:$B$50, 2, FALSE),
      ""
   )
),"")</f>
        <v/>
      </c>
    </row>
    <row r="11" spans="1:25" s="32" customFormat="1" ht="82.9">
      <c r="A11" s="56" t="s">
        <v>43</v>
      </c>
      <c r="B11" s="46" t="s">
        <v>63</v>
      </c>
      <c r="C11" s="57" t="s">
        <v>64</v>
      </c>
      <c r="D11" s="57" t="s">
        <v>65</v>
      </c>
      <c r="E11" s="47" t="s">
        <v>57</v>
      </c>
      <c r="F11" s="48" t="s">
        <v>48</v>
      </c>
      <c r="G11" s="48" t="s">
        <v>49</v>
      </c>
      <c r="H11" s="49" t="str" cm="1">
        <f t="array" ref="H11">_xlfn.XLOOKUP(
  1,
  (Matriz!F11=Referencias!$A$19:$A$28)*(Matriz!G11=Referencias!$B$19:$B$28),
  Referencias!$C$19:$C$28,
  ""
)</f>
        <v>Alta</v>
      </c>
      <c r="I11" s="57" t="s">
        <v>66</v>
      </c>
      <c r="J11" s="105" t="s">
        <v>67</v>
      </c>
      <c r="K11" s="106" t="s">
        <v>68</v>
      </c>
      <c r="L11" s="50">
        <v>45782</v>
      </c>
      <c r="M11" s="50">
        <v>46203</v>
      </c>
      <c r="N11" s="107" t="s">
        <v>61</v>
      </c>
      <c r="O11" s="50" t="s">
        <v>62</v>
      </c>
      <c r="P11" s="28"/>
      <c r="Q11" s="28"/>
      <c r="R11" s="28"/>
      <c r="S11" s="28"/>
      <c r="T11" s="29"/>
      <c r="U11" s="29"/>
      <c r="V11" s="27"/>
      <c r="W11" s="27"/>
      <c r="X11" s="38" t="str" cm="1">
        <f t="array" ref="X11">_xlfn.XLOOKUP(
  1,
  (Matriz!V11=Referencias!$A$19:$A$28)*(Matriz!W11=Referencias!$B$19:$B$28),
  Referencias!$C$19:$C$28,
  ""
)</f>
        <v/>
      </c>
      <c r="Y11" s="39" t="str">
        <f>IFERROR(IF(
   E11="Riesgo",
   VLOOKUP(Tabla1[[#This Row],[Criticidad2]], Referencias!$A$47:$B$49, 2, FALSE),
   IF(
      AND(E11="Oportunidad", U11="No eficaz"),
      VLOOKUP(U11, Referencias!$A$50:$B$50, 2, FALSE),
      ""
   )
),"")</f>
        <v/>
      </c>
    </row>
    <row r="12" spans="1:25" s="32" customFormat="1" ht="74.25" customHeight="1">
      <c r="A12" s="56" t="s">
        <v>43</v>
      </c>
      <c r="B12" s="46" t="s">
        <v>44</v>
      </c>
      <c r="C12" s="57" t="s">
        <v>69</v>
      </c>
      <c r="D12" s="57" t="s">
        <v>70</v>
      </c>
      <c r="E12" s="47" t="s">
        <v>57</v>
      </c>
      <c r="F12" s="48" t="s">
        <v>48</v>
      </c>
      <c r="G12" s="48" t="s">
        <v>58</v>
      </c>
      <c r="H12" s="49" t="str" cm="1">
        <f t="array" ref="H12">_xlfn.XLOOKUP(
  1,
  (Matriz!F12=Referencias!$A$19:$A$28)*(Matriz!G12=Referencias!$B$19:$B$28),
  Referencias!$C$19:$C$28,
  ""
)</f>
        <v>Alta</v>
      </c>
      <c r="I12" s="57" t="s">
        <v>71</v>
      </c>
      <c r="J12" s="105" t="s">
        <v>67</v>
      </c>
      <c r="K12" s="108" t="s">
        <v>68</v>
      </c>
      <c r="L12" s="50">
        <v>46118</v>
      </c>
      <c r="M12" s="50">
        <v>46203</v>
      </c>
      <c r="N12" s="107" t="s">
        <v>61</v>
      </c>
      <c r="O12" s="50" t="s">
        <v>54</v>
      </c>
      <c r="P12" s="28"/>
      <c r="Q12" s="28"/>
      <c r="R12" s="28"/>
      <c r="S12" s="28"/>
      <c r="T12" s="29"/>
      <c r="U12" s="29"/>
      <c r="V12" s="27"/>
      <c r="W12" s="27"/>
      <c r="X12" s="38" t="str" cm="1">
        <f t="array" ref="X12">_xlfn.XLOOKUP(
  1,
  (Matriz!V12=Referencias!$A$19:$A$28)*(Matriz!W12=Referencias!$B$19:$B$28),
  Referencias!$C$19:$C$28,
  ""
)</f>
        <v/>
      </c>
      <c r="Y12" s="39" t="str">
        <f>IFERROR(IF(
   E12="Riesgo",
   VLOOKUP(Tabla1[[#This Row],[Criticidad2]], Referencias!$A$47:$B$49, 2, FALSE),
   IF(
      AND(E12="Oportunidad", U12="No eficaz"),
      VLOOKUP(U12, Referencias!$A$50:$B$50, 2, FALSE),
      ""
   )
),"")</f>
        <v/>
      </c>
    </row>
    <row r="13" spans="1:25" s="32" customFormat="1" ht="41.45">
      <c r="A13" s="56" t="s">
        <v>43</v>
      </c>
      <c r="B13" s="46" t="s">
        <v>72</v>
      </c>
      <c r="C13" s="57" t="s">
        <v>73</v>
      </c>
      <c r="D13" s="64" t="s">
        <v>74</v>
      </c>
      <c r="E13" s="47" t="s">
        <v>57</v>
      </c>
      <c r="F13" s="48" t="s">
        <v>48</v>
      </c>
      <c r="G13" s="48" t="s">
        <v>49</v>
      </c>
      <c r="H13" s="49" t="str" cm="1">
        <f t="array" ref="H13">_xlfn.XLOOKUP(
  1,
  (Matriz!F13=Referencias!$A$19:$A$28)*(Matriz!G13=Referencias!$B$19:$B$28),
  Referencias!$C$19:$C$28,
  ""
)</f>
        <v>Alta</v>
      </c>
      <c r="I13" s="57" t="s">
        <v>75</v>
      </c>
      <c r="J13" s="105" t="s">
        <v>76</v>
      </c>
      <c r="K13" s="108" t="s">
        <v>77</v>
      </c>
      <c r="L13" s="50">
        <v>45782</v>
      </c>
      <c r="M13" s="50">
        <v>46112</v>
      </c>
      <c r="N13" s="107" t="s">
        <v>61</v>
      </c>
      <c r="O13" s="50" t="s">
        <v>62</v>
      </c>
      <c r="P13" s="28"/>
      <c r="Q13" s="28"/>
      <c r="R13" s="28"/>
      <c r="S13" s="28"/>
      <c r="T13" s="29"/>
      <c r="U13" s="29"/>
      <c r="V13" s="27"/>
      <c r="W13" s="27"/>
      <c r="X13" s="38" t="str" cm="1">
        <f t="array" ref="X13">_xlfn.XLOOKUP(
  1,
  (Matriz!V13=Referencias!$A$19:$A$28)*(Matriz!W13=Referencias!$B$19:$B$28),
  Referencias!$C$19:$C$28,
  ""
)</f>
        <v/>
      </c>
      <c r="Y13" s="39" t="str">
        <f>IFERROR(IF(
   E13="Riesgo",
   VLOOKUP(Tabla1[[#This Row],[Criticidad2]], Referencias!$A$47:$B$49, 2, FALSE),
   IF(
      AND(E13="Oportunidad", U13="No eficaz"),
      VLOOKUP(U13, Referencias!$A$50:$B$50, 2, FALSE),
      ""
   )
),"")</f>
        <v/>
      </c>
    </row>
    <row r="14" spans="1:25" s="32" customFormat="1" ht="55.15">
      <c r="A14" s="56" t="s">
        <v>43</v>
      </c>
      <c r="B14" s="46" t="s">
        <v>72</v>
      </c>
      <c r="C14" s="57" t="s">
        <v>78</v>
      </c>
      <c r="D14" s="57" t="s">
        <v>79</v>
      </c>
      <c r="E14" s="47" t="s">
        <v>57</v>
      </c>
      <c r="F14" s="48" t="s">
        <v>48</v>
      </c>
      <c r="G14" s="48" t="s">
        <v>58</v>
      </c>
      <c r="H14" s="49" t="str" cm="1">
        <f t="array" ref="H14">_xlfn.XLOOKUP(
  1,
  (Matriz!F14=Referencias!$A$19:$A$28)*(Matriz!G14=Referencias!$B$19:$B$28),
  Referencias!$C$19:$C$28,
  ""
)</f>
        <v>Alta</v>
      </c>
      <c r="I14" s="57" t="s">
        <v>80</v>
      </c>
      <c r="J14" s="105" t="s">
        <v>76</v>
      </c>
      <c r="K14" s="108" t="s">
        <v>81</v>
      </c>
      <c r="L14" s="50">
        <v>45810</v>
      </c>
      <c r="M14" s="50">
        <v>46172</v>
      </c>
      <c r="N14" s="107" t="s">
        <v>61</v>
      </c>
      <c r="O14" s="50" t="s">
        <v>62</v>
      </c>
      <c r="P14" s="28"/>
      <c r="Q14" s="28"/>
      <c r="R14" s="28"/>
      <c r="S14" s="28"/>
      <c r="T14" s="29"/>
      <c r="U14" s="29"/>
      <c r="V14" s="27"/>
      <c r="W14" s="27"/>
      <c r="X14" s="38" t="str" cm="1">
        <f t="array" ref="X14">_xlfn.XLOOKUP(
  1,
  (Matriz!V14=Referencias!$A$19:$A$28)*(Matriz!W14=Referencias!$B$19:$B$28),
  Referencias!$C$19:$C$28,
  ""
)</f>
        <v/>
      </c>
      <c r="Y14" s="39" t="str">
        <f>IFERROR(IF(
   E14="Riesgo",
   VLOOKUP(Tabla1[[#This Row],[Criticidad2]], Referencias!$A$47:$B$49, 2, FALSE),
   IF(
      AND(E14="Oportunidad", U14="No eficaz"),
      VLOOKUP(U14, Referencias!$A$50:$B$50, 2, FALSE),
      ""
   )
),"")</f>
        <v/>
      </c>
    </row>
    <row r="15" spans="1:25" s="32" customFormat="1" ht="27.6">
      <c r="A15" s="56" t="s">
        <v>43</v>
      </c>
      <c r="B15" s="46" t="s">
        <v>72</v>
      </c>
      <c r="C15" s="57" t="s">
        <v>82</v>
      </c>
      <c r="D15" s="57" t="s">
        <v>83</v>
      </c>
      <c r="E15" s="47" t="s">
        <v>47</v>
      </c>
      <c r="F15" s="48" t="s">
        <v>84</v>
      </c>
      <c r="G15" s="48" t="s">
        <v>58</v>
      </c>
      <c r="H15" s="49" t="str" cm="1">
        <f t="array" ref="H15">_xlfn.XLOOKUP(
  1,
  (Matriz!F15=Referencias!$A$19:$A$28)*(Matriz!G15=Referencias!$B$19:$B$28),
  Referencias!$C$19:$C$28,
  ""
)</f>
        <v>Media</v>
      </c>
      <c r="I15" s="57" t="s">
        <v>85</v>
      </c>
      <c r="J15" s="105" t="s">
        <v>76</v>
      </c>
      <c r="K15" s="108" t="s">
        <v>86</v>
      </c>
      <c r="L15" s="50">
        <v>45810</v>
      </c>
      <c r="M15" s="50">
        <v>46172</v>
      </c>
      <c r="N15" s="107" t="s">
        <v>61</v>
      </c>
      <c r="O15" s="50" t="s">
        <v>62</v>
      </c>
      <c r="P15" s="28"/>
      <c r="Q15" s="28"/>
      <c r="R15" s="28"/>
      <c r="S15" s="28"/>
      <c r="T15" s="29"/>
      <c r="U15" s="29"/>
      <c r="V15" s="27"/>
      <c r="W15" s="27"/>
      <c r="X15" s="38" t="str" cm="1">
        <f t="array" ref="X15">_xlfn.XLOOKUP(
  1,
  (Matriz!V15=Referencias!$A$19:$A$28)*(Matriz!W15=Referencias!$B$19:$B$28),
  Referencias!$C$19:$C$28,
  ""
)</f>
        <v/>
      </c>
      <c r="Y15" s="39" t="str">
        <f>IFERROR(IF(
   E15="Riesgo",
   VLOOKUP(Tabla1[[#This Row],[Criticidad2]], Referencias!$A$47:$B$49, 2, FALSE),
   IF(
      AND(E15="Oportunidad", U15="No eficaz"),
      VLOOKUP(U15, Referencias!$A$50:$B$50, 2, FALSE),
      ""
   )
),"")</f>
        <v/>
      </c>
    </row>
    <row r="16" spans="1:25" s="32" customFormat="1" ht="60.75" customHeight="1">
      <c r="A16" s="56" t="s">
        <v>43</v>
      </c>
      <c r="B16" s="46" t="s">
        <v>63</v>
      </c>
      <c r="C16" s="57" t="s">
        <v>87</v>
      </c>
      <c r="D16" s="57" t="s">
        <v>88</v>
      </c>
      <c r="E16" s="47" t="s">
        <v>57</v>
      </c>
      <c r="F16" s="48" t="s">
        <v>84</v>
      </c>
      <c r="G16" s="48" t="s">
        <v>49</v>
      </c>
      <c r="H16" s="49" t="str" cm="1">
        <f t="array" ref="H16">_xlfn.XLOOKUP(
  1,
  (Matriz!F16=Referencias!$A$19:$A$28)*(Matriz!G16=Referencias!$B$19:$B$28),
  Referencias!$C$19:$C$28,
  ""
)</f>
        <v>Alta</v>
      </c>
      <c r="I16" s="57" t="s">
        <v>89</v>
      </c>
      <c r="J16" s="105" t="s">
        <v>67</v>
      </c>
      <c r="K16" s="109" t="s">
        <v>90</v>
      </c>
      <c r="L16" s="50">
        <v>46118</v>
      </c>
      <c r="M16" s="110">
        <v>46233</v>
      </c>
      <c r="N16" s="107" t="s">
        <v>91</v>
      </c>
      <c r="O16" s="50" t="s">
        <v>54</v>
      </c>
      <c r="P16" s="28"/>
      <c r="Q16" s="28"/>
      <c r="R16" s="28"/>
      <c r="S16" s="28"/>
      <c r="T16" s="29"/>
      <c r="U16" s="29"/>
      <c r="V16" s="27"/>
      <c r="W16" s="27"/>
      <c r="X16" s="38" t="str" cm="1">
        <f t="array" ref="X16">_xlfn.XLOOKUP(
  1,
  (Matriz!V16=Referencias!$A$19:$A$28)*(Matriz!W16=Referencias!$B$19:$B$28),
  Referencias!$C$19:$C$28,
  ""
)</f>
        <v/>
      </c>
      <c r="Y16" s="39" t="str">
        <f>IFERROR(IF(
   E16="Riesgo",
   VLOOKUP(Tabla1[[#This Row],[Criticidad2]], Referencias!$A$47:$B$49, 2, FALSE),
   IF(
      AND(E16="Oportunidad", U16="No eficaz"),
      VLOOKUP(U16, Referencias!$A$50:$B$50, 2, FALSE),
      ""
   )
),"")</f>
        <v/>
      </c>
    </row>
    <row r="17" spans="1:25" s="32" customFormat="1" ht="41.45">
      <c r="A17" s="56" t="s">
        <v>43</v>
      </c>
      <c r="B17" s="46" t="s">
        <v>92</v>
      </c>
      <c r="C17" s="57" t="s">
        <v>93</v>
      </c>
      <c r="D17" s="57" t="s">
        <v>94</v>
      </c>
      <c r="E17" s="47" t="s">
        <v>47</v>
      </c>
      <c r="F17" s="48" t="s">
        <v>84</v>
      </c>
      <c r="G17" s="48" t="s">
        <v>95</v>
      </c>
      <c r="H17" s="49" t="str" cm="1">
        <f t="array" ref="H17">_xlfn.XLOOKUP(
  1,
  (Matriz!F17=Referencias!$A$19:$A$28)*(Matriz!G17=Referencias!$B$19:$B$28),
  Referencias!$C$19:$C$28,
  ""
)</f>
        <v>Baja</v>
      </c>
      <c r="I17" s="57" t="s">
        <v>96</v>
      </c>
      <c r="J17" s="105" t="s">
        <v>97</v>
      </c>
      <c r="K17" s="107" t="s">
        <v>98</v>
      </c>
      <c r="L17" s="50">
        <v>46099</v>
      </c>
      <c r="M17" s="50">
        <v>46203</v>
      </c>
      <c r="N17" s="107" t="s">
        <v>61</v>
      </c>
      <c r="O17" s="50" t="s">
        <v>62</v>
      </c>
      <c r="P17" s="28"/>
      <c r="Q17" s="28"/>
      <c r="R17" s="28"/>
      <c r="S17" s="28"/>
      <c r="T17" s="29"/>
      <c r="U17" s="29"/>
      <c r="V17" s="27"/>
      <c r="W17" s="27"/>
      <c r="X17" s="38" t="str" cm="1">
        <f t="array" ref="X17">_xlfn.XLOOKUP(
  1,
  (Matriz!V17=Referencias!$A$19:$A$28)*(Matriz!W17=Referencias!$B$19:$B$28),
  Referencias!$C$19:$C$28,
  ""
)</f>
        <v/>
      </c>
      <c r="Y17" s="39" t="str">
        <f>IFERROR(IF(
   E17="Riesgo",
   VLOOKUP(Tabla1[[#This Row],[Criticidad2]], Referencias!$A$47:$B$49, 2, FALSE),
   IF(
      AND(E17="Oportunidad", U17="No eficaz"),
      VLOOKUP(U17, Referencias!$A$50:$B$50, 2, FALSE),
      ""
   )
),"")</f>
        <v/>
      </c>
    </row>
    <row r="18" spans="1:25" s="32" customFormat="1" ht="69">
      <c r="A18" s="56" t="s">
        <v>43</v>
      </c>
      <c r="B18" s="46" t="s">
        <v>72</v>
      </c>
      <c r="C18" s="57" t="s">
        <v>99</v>
      </c>
      <c r="D18" s="57" t="s">
        <v>100</v>
      </c>
      <c r="E18" s="47" t="s">
        <v>57</v>
      </c>
      <c r="F18" s="48" t="s">
        <v>48</v>
      </c>
      <c r="G18" s="48" t="s">
        <v>58</v>
      </c>
      <c r="H18" s="49" t="str" cm="1">
        <f t="array" ref="H18">_xlfn.XLOOKUP(
  1,
  (Matriz!F18=Referencias!$A$19:$A$28)*(Matriz!G18=Referencias!$B$19:$B$28),
  Referencias!$C$19:$C$28,
  ""
)</f>
        <v>Alta</v>
      </c>
      <c r="I18" s="57" t="s">
        <v>101</v>
      </c>
      <c r="J18" s="105" t="s">
        <v>67</v>
      </c>
      <c r="K18" s="111" t="s">
        <v>60</v>
      </c>
      <c r="L18" s="50">
        <v>45719</v>
      </c>
      <c r="M18" s="50">
        <v>46264</v>
      </c>
      <c r="N18" s="107" t="s">
        <v>61</v>
      </c>
      <c r="O18" s="50" t="s">
        <v>62</v>
      </c>
      <c r="P18" s="28"/>
      <c r="Q18" s="28"/>
      <c r="R18" s="28"/>
      <c r="S18" s="28"/>
      <c r="T18" s="29"/>
      <c r="U18" s="29"/>
      <c r="V18" s="27"/>
      <c r="W18" s="27"/>
      <c r="X18" s="38" t="str" cm="1">
        <f t="array" ref="X18">_xlfn.XLOOKUP(
  1,
  (Matriz!V18=Referencias!$A$19:$A$28)*(Matriz!W18=Referencias!$B$19:$B$28),
  Referencias!$C$19:$C$28,
  ""
)</f>
        <v/>
      </c>
      <c r="Y18" s="39" t="str">
        <f>IFERROR(IF(
   E18="Riesgo",
   VLOOKUP(Tabla1[[#This Row],[Criticidad2]], Referencias!$A$47:$B$49, 2, FALSE),
   IF(
      AND(E18="Oportunidad", U18="No eficaz"),
      VLOOKUP(U18, Referencias!$A$50:$B$50, 2, FALSE),
      ""
   )
),"")</f>
        <v/>
      </c>
    </row>
    <row r="19" spans="1:25" s="32" customFormat="1" ht="41.45">
      <c r="A19" s="56" t="s">
        <v>43</v>
      </c>
      <c r="B19" s="46" t="s">
        <v>44</v>
      </c>
      <c r="C19" s="57" t="s">
        <v>102</v>
      </c>
      <c r="D19" s="57" t="s">
        <v>103</v>
      </c>
      <c r="E19" s="47" t="s">
        <v>47</v>
      </c>
      <c r="F19" s="48" t="s">
        <v>48</v>
      </c>
      <c r="G19" s="48" t="s">
        <v>58</v>
      </c>
      <c r="H19" s="49" t="str" cm="1">
        <f t="array" ref="H19">_xlfn.XLOOKUP(
  1,
  (Matriz!F19=Referencias!$A$19:$A$28)*(Matriz!G19=Referencias!$B$19:$B$28),
  Referencias!$C$19:$C$28,
  ""
)</f>
        <v>Alta</v>
      </c>
      <c r="I19" s="46" t="s">
        <v>104</v>
      </c>
      <c r="J19" s="105" t="s">
        <v>67</v>
      </c>
      <c r="K19" s="111" t="s">
        <v>60</v>
      </c>
      <c r="L19" s="50">
        <v>45719</v>
      </c>
      <c r="M19" s="50">
        <v>46172</v>
      </c>
      <c r="N19" s="107" t="s">
        <v>61</v>
      </c>
      <c r="O19" s="50" t="s">
        <v>62</v>
      </c>
      <c r="P19" s="28"/>
      <c r="Q19" s="28"/>
      <c r="R19" s="28"/>
      <c r="S19" s="28"/>
      <c r="T19" s="29"/>
      <c r="U19" s="29"/>
      <c r="V19" s="27"/>
      <c r="W19" s="27"/>
      <c r="X19" s="38" t="str" cm="1">
        <f t="array" ref="X19">_xlfn.XLOOKUP(
  1,
  (Matriz!V19=Referencias!$A$19:$A$28)*(Matriz!W19=Referencias!$B$19:$B$28),
  Referencias!$C$19:$C$28,
  ""
)</f>
        <v/>
      </c>
      <c r="Y19" s="39" t="str">
        <f>IFERROR(IF(
   E19="Riesgo",
   VLOOKUP(Tabla1[[#This Row],[Criticidad2]], Referencias!$A$47:$B$49, 2, FALSE),
   IF(
      AND(E19="Oportunidad", U19="No eficaz"),
      VLOOKUP(U19, Referencias!$A$50:$B$50, 2, FALSE),
      ""
   )
),"")</f>
        <v/>
      </c>
    </row>
    <row r="20" spans="1:25" s="32" customFormat="1" ht="55.15">
      <c r="A20" s="56" t="s">
        <v>43</v>
      </c>
      <c r="B20" s="46" t="s">
        <v>72</v>
      </c>
      <c r="C20" s="57" t="s">
        <v>105</v>
      </c>
      <c r="D20" s="57" t="s">
        <v>106</v>
      </c>
      <c r="E20" s="47" t="s">
        <v>57</v>
      </c>
      <c r="F20" s="48" t="s">
        <v>84</v>
      </c>
      <c r="G20" s="48" t="s">
        <v>49</v>
      </c>
      <c r="H20" s="49" t="str" cm="1">
        <f t="array" ref="H20">_xlfn.XLOOKUP(
  1,
  (Matriz!F20=Referencias!$A$19:$A$28)*(Matriz!G20=Referencias!$B$19:$B$28),
  Referencias!$C$19:$C$28,
  ""
)</f>
        <v>Alta</v>
      </c>
      <c r="I20" s="46" t="s">
        <v>107</v>
      </c>
      <c r="J20" s="105" t="s">
        <v>67</v>
      </c>
      <c r="K20" s="111" t="s">
        <v>108</v>
      </c>
      <c r="L20" s="50">
        <v>46118</v>
      </c>
      <c r="M20" s="50">
        <v>46203</v>
      </c>
      <c r="N20" s="107" t="s">
        <v>91</v>
      </c>
      <c r="O20" s="50" t="s">
        <v>54</v>
      </c>
      <c r="P20" s="28"/>
      <c r="Q20" s="28"/>
      <c r="R20" s="28"/>
      <c r="S20" s="28"/>
      <c r="T20" s="29"/>
      <c r="U20" s="29"/>
      <c r="V20" s="27"/>
      <c r="W20" s="27"/>
      <c r="X20" s="38" t="str" cm="1">
        <f t="array" ref="X20">_xlfn.XLOOKUP(
  1,
  (Matriz!V20=Referencias!$A$19:$A$28)*(Matriz!W20=Referencias!$B$19:$B$28),
  Referencias!$C$19:$C$28,
  ""
)</f>
        <v/>
      </c>
      <c r="Y20" s="39" t="str">
        <f>IFERROR(IF(
   E20="Riesgo",
   VLOOKUP(Tabla1[[#This Row],[Criticidad2]], Referencias!$A$47:$B$49, 2, FALSE),
   IF(
      AND(E20="Oportunidad", U20="No eficaz"),
      VLOOKUP(U20, Referencias!$A$50:$B$50, 2, FALSE),
      ""
   )
),"")</f>
        <v/>
      </c>
    </row>
    <row r="21" spans="1:25" s="32" customFormat="1" ht="110.45">
      <c r="A21" s="56" t="s">
        <v>43</v>
      </c>
      <c r="B21" s="46" t="s">
        <v>63</v>
      </c>
      <c r="C21" s="57" t="s">
        <v>109</v>
      </c>
      <c r="D21" s="57" t="s">
        <v>110</v>
      </c>
      <c r="E21" s="47" t="s">
        <v>57</v>
      </c>
      <c r="F21" s="48" t="s">
        <v>111</v>
      </c>
      <c r="G21" s="48" t="s">
        <v>58</v>
      </c>
      <c r="H21" s="49" t="str" cm="1">
        <f t="array" ref="H21">_xlfn.XLOOKUP(
  1,
  (Matriz!F21=Referencias!$A$19:$A$28)*(Matriz!G21=Referencias!$B$19:$B$28),
  Referencias!$C$19:$C$28,
  ""
)</f>
        <v>Baja</v>
      </c>
      <c r="I21" s="57" t="s">
        <v>112</v>
      </c>
      <c r="J21" s="105" t="s">
        <v>67</v>
      </c>
      <c r="K21" s="108" t="s">
        <v>113</v>
      </c>
      <c r="L21" s="50">
        <v>46097</v>
      </c>
      <c r="M21" s="50">
        <v>46387</v>
      </c>
      <c r="N21" s="107" t="s">
        <v>114</v>
      </c>
      <c r="O21" s="50" t="s">
        <v>62</v>
      </c>
      <c r="P21" s="28"/>
      <c r="Q21" s="28"/>
      <c r="R21" s="28"/>
      <c r="S21" s="28"/>
      <c r="T21" s="29"/>
      <c r="U21" s="29"/>
      <c r="V21" s="27"/>
      <c r="W21" s="27"/>
      <c r="X21" s="38" t="str" cm="1">
        <f t="array" ref="X21">_xlfn.XLOOKUP(
  1,
  (Matriz!V21=Referencias!$A$19:$A$28)*(Matriz!W21=Referencias!$B$19:$B$28),
  Referencias!$C$19:$C$28,
  ""
)</f>
        <v/>
      </c>
      <c r="Y21" s="39" t="str">
        <f>IFERROR(IF(
   E21="Riesgo",
   VLOOKUP(Tabla1[[#This Row],[Criticidad2]], Referencias!$A$47:$B$49, 2, FALSE),
   IF(
      AND(E21="Oportunidad", U21="No eficaz"),
      VLOOKUP(U21, Referencias!$A$50:$B$50, 2, FALSE),
      ""
   )
),"")</f>
        <v/>
      </c>
    </row>
    <row r="22" spans="1:25" s="32" customFormat="1" ht="102.75" customHeight="1">
      <c r="A22" s="56" t="s">
        <v>43</v>
      </c>
      <c r="B22" s="46" t="s">
        <v>92</v>
      </c>
      <c r="C22" s="112" t="s">
        <v>115</v>
      </c>
      <c r="D22" s="57" t="s">
        <v>116</v>
      </c>
      <c r="E22" s="47" t="s">
        <v>57</v>
      </c>
      <c r="F22" s="48" t="s">
        <v>111</v>
      </c>
      <c r="G22" s="48" t="s">
        <v>58</v>
      </c>
      <c r="H22" s="49" t="str" cm="1">
        <f t="array" ref="H22">_xlfn.XLOOKUP(
  1,
  (Matriz!F22=Referencias!$A$19:$A$28)*(Matriz!G22=Referencias!$B$19:$B$28),
  Referencias!$C$19:$C$28,
  ""
)</f>
        <v>Baja</v>
      </c>
      <c r="I22" s="46" t="s">
        <v>117</v>
      </c>
      <c r="J22" s="105" t="s">
        <v>76</v>
      </c>
      <c r="K22" s="111" t="s">
        <v>118</v>
      </c>
      <c r="L22" s="50">
        <v>46118</v>
      </c>
      <c r="M22" s="50">
        <v>46387</v>
      </c>
      <c r="N22" s="107" t="s">
        <v>61</v>
      </c>
      <c r="O22" s="50" t="s">
        <v>54</v>
      </c>
      <c r="P22" s="28"/>
      <c r="Q22" s="28"/>
      <c r="R22" s="28"/>
      <c r="S22" s="28"/>
      <c r="T22" s="29"/>
      <c r="U22" s="29"/>
      <c r="V22" s="27"/>
      <c r="W22" s="27"/>
      <c r="X22" s="38" t="str" cm="1">
        <f t="array" ref="X22">_xlfn.XLOOKUP(
  1,
  (Matriz!V22=Referencias!$A$19:$A$28)*(Matriz!W22=Referencias!$B$19:$B$28),
  Referencias!$C$19:$C$28,
  ""
)</f>
        <v/>
      </c>
      <c r="Y22" s="39" t="str">
        <f>IFERROR(IF(
   E22="Riesgo",
   VLOOKUP(Tabla1[[#This Row],[Criticidad2]], Referencias!$A$47:$B$49, 2, FALSE),
   IF(
      AND(E22="Oportunidad", U22="No eficaz"),
      VLOOKUP(U22, Referencias!$A$50:$B$50, 2, FALSE),
      ""
   )
),"")</f>
        <v/>
      </c>
    </row>
    <row r="23" spans="1:25" s="32" customFormat="1" ht="82.9">
      <c r="A23" s="56" t="s">
        <v>43</v>
      </c>
      <c r="B23" s="46" t="s">
        <v>92</v>
      </c>
      <c r="C23" s="112" t="s">
        <v>119</v>
      </c>
      <c r="D23" s="57" t="s">
        <v>116</v>
      </c>
      <c r="E23" s="47" t="s">
        <v>57</v>
      </c>
      <c r="F23" s="48" t="s">
        <v>48</v>
      </c>
      <c r="G23" s="48" t="s">
        <v>58</v>
      </c>
      <c r="H23" s="49" t="str" cm="1">
        <f t="array" ref="H23">_xlfn.XLOOKUP(
  1,
  (Matriz!F23=Referencias!$A$19:$A$28)*(Matriz!G23=Referencias!$B$19:$B$28),
  Referencias!$C$19:$C$28,
  ""
)</f>
        <v>Alta</v>
      </c>
      <c r="I23" s="46" t="s">
        <v>120</v>
      </c>
      <c r="J23" s="105" t="s">
        <v>76</v>
      </c>
      <c r="K23" s="111" t="s">
        <v>121</v>
      </c>
      <c r="L23" s="50">
        <v>46118</v>
      </c>
      <c r="M23" s="50">
        <v>46387</v>
      </c>
      <c r="N23" s="107" t="s">
        <v>61</v>
      </c>
      <c r="O23" s="50" t="s">
        <v>54</v>
      </c>
      <c r="P23" s="28"/>
      <c r="Q23" s="28"/>
      <c r="R23" s="28"/>
      <c r="S23" s="28"/>
      <c r="T23" s="29"/>
      <c r="U23" s="29"/>
      <c r="V23" s="27"/>
      <c r="W23" s="27"/>
      <c r="X23" s="38" t="str" cm="1">
        <f t="array" ref="X23">_xlfn.XLOOKUP(
  1,
  (Matriz!V23=Referencias!$A$19:$A$28)*(Matriz!W23=Referencias!$B$19:$B$28),
  Referencias!$C$19:$C$28,
  ""
)</f>
        <v/>
      </c>
      <c r="Y23" s="39" t="str">
        <f>IFERROR(IF(
   E23="Riesgo",
   VLOOKUP(Tabla1[[#This Row],[Criticidad2]], Referencias!$A$47:$B$49, 2, FALSE),
   IF(
      AND(E23="Oportunidad", U23="No eficaz"),
      VLOOKUP(U23, Referencias!$A$50:$B$50, 2, FALSE),
      ""
   )
),"")</f>
        <v/>
      </c>
    </row>
    <row r="24" spans="1:25" s="32" customFormat="1" ht="41.45">
      <c r="A24" s="56" t="s">
        <v>43</v>
      </c>
      <c r="B24" s="46" t="s">
        <v>44</v>
      </c>
      <c r="C24" s="57" t="s">
        <v>122</v>
      </c>
      <c r="D24" s="57" t="s">
        <v>123</v>
      </c>
      <c r="E24" s="47" t="s">
        <v>57</v>
      </c>
      <c r="F24" s="48" t="s">
        <v>48</v>
      </c>
      <c r="G24" s="48" t="s">
        <v>58</v>
      </c>
      <c r="H24" s="49" t="str" cm="1">
        <f t="array" ref="H24">_xlfn.XLOOKUP(
  1,
  (Matriz!F24=Referencias!$A$19:$A$28)*(Matriz!G24=Referencias!$B$19:$B$28),
  Referencias!$C$19:$C$28,
  ""
)</f>
        <v>Alta</v>
      </c>
      <c r="I24" s="46" t="s">
        <v>124</v>
      </c>
      <c r="J24" s="105" t="s">
        <v>67</v>
      </c>
      <c r="K24" s="111" t="s">
        <v>125</v>
      </c>
      <c r="L24" s="50">
        <v>46118</v>
      </c>
      <c r="M24" s="50">
        <v>46234</v>
      </c>
      <c r="N24" s="107" t="s">
        <v>53</v>
      </c>
      <c r="O24" s="50" t="s">
        <v>54</v>
      </c>
      <c r="P24" s="28"/>
      <c r="Q24" s="28"/>
      <c r="R24" s="28"/>
      <c r="S24" s="28"/>
      <c r="T24" s="29"/>
      <c r="U24" s="29"/>
      <c r="V24" s="27"/>
      <c r="W24" s="27"/>
      <c r="X24" s="38" t="str" cm="1">
        <f t="array" ref="X24">_xlfn.XLOOKUP(
  1,
  (Matriz!V24=Referencias!$A$19:$A$28)*(Matriz!W24=Referencias!$B$19:$B$28),
  Referencias!$C$19:$C$28,
  ""
)</f>
        <v/>
      </c>
      <c r="Y24" s="39" t="str">
        <f>IFERROR(IF(
   E24="Riesgo",
   VLOOKUP(Tabla1[[#This Row],[Criticidad2]], Referencias!$A$47:$B$49, 2, FALSE),
   IF(
      AND(E24="Oportunidad", U24="No eficaz"),
      VLOOKUP(U24, Referencias!$A$50:$B$50, 2, FALSE),
      ""
   )
),"")</f>
        <v/>
      </c>
    </row>
    <row r="25" spans="1:25" s="32" customFormat="1" ht="151.9">
      <c r="A25" s="56" t="s">
        <v>43</v>
      </c>
      <c r="B25" s="46" t="s">
        <v>72</v>
      </c>
      <c r="C25" s="57" t="s">
        <v>126</v>
      </c>
      <c r="D25" s="57" t="s">
        <v>127</v>
      </c>
      <c r="E25" s="47" t="s">
        <v>47</v>
      </c>
      <c r="F25" s="48" t="s">
        <v>84</v>
      </c>
      <c r="G25" s="48" t="s">
        <v>58</v>
      </c>
      <c r="H25" s="49" t="str" cm="1">
        <f t="array" ref="H25">_xlfn.XLOOKUP(
  1,
  (Matriz!F25=Referencias!$A$19:$A$28)*(Matriz!G25=Referencias!$B$19:$B$28),
  Referencias!$C$19:$C$28,
  ""
)</f>
        <v>Media</v>
      </c>
      <c r="I25" s="46" t="s">
        <v>128</v>
      </c>
      <c r="J25" s="105" t="s">
        <v>67</v>
      </c>
      <c r="K25" s="111" t="s">
        <v>129</v>
      </c>
      <c r="L25" s="50">
        <v>46073</v>
      </c>
      <c r="M25" s="50">
        <v>46234</v>
      </c>
      <c r="N25" s="107" t="s">
        <v>91</v>
      </c>
      <c r="O25" s="50" t="s">
        <v>62</v>
      </c>
      <c r="P25" s="28"/>
      <c r="Q25" s="28"/>
      <c r="R25" s="28"/>
      <c r="S25" s="28"/>
      <c r="T25" s="29"/>
      <c r="U25" s="29"/>
      <c r="V25" s="27"/>
      <c r="W25" s="27"/>
      <c r="X25" s="38" t="str" cm="1">
        <f t="array" ref="X25">_xlfn.XLOOKUP(
  1,
  (Matriz!V25=Referencias!$A$19:$A$28)*(Matriz!W25=Referencias!$B$19:$B$28),
  Referencias!$C$19:$C$28,
  ""
)</f>
        <v/>
      </c>
      <c r="Y25" s="39" t="str">
        <f>IFERROR(IF(
   E25="Riesgo",
   VLOOKUP(Tabla1[[#This Row],[Criticidad2]], Referencias!$A$47:$B$49, 2, FALSE),
   IF(
      AND(E25="Oportunidad", U25="No eficaz"),
      VLOOKUP(U25, Referencias!$A$50:$B$50, 2, FALSE),
      ""
   )
),"")</f>
        <v/>
      </c>
    </row>
    <row r="26" spans="1:25" ht="27.6">
      <c r="A26" s="56" t="s">
        <v>43</v>
      </c>
      <c r="B26" s="46" t="s">
        <v>63</v>
      </c>
      <c r="C26" s="57" t="s">
        <v>130</v>
      </c>
      <c r="D26" s="57" t="s">
        <v>131</v>
      </c>
      <c r="E26" s="47" t="s">
        <v>57</v>
      </c>
      <c r="F26" s="48" t="s">
        <v>48</v>
      </c>
      <c r="G26" s="48" t="s">
        <v>58</v>
      </c>
      <c r="H26" s="49" t="str" cm="1">
        <f t="array" ref="H26">_xlfn.XLOOKUP(
  1,
  (Matriz!F26=Referencias!$A$19:$A$28)*(Matriz!G26=Referencias!$B$19:$B$28),
  Referencias!$C$19:$C$28,
  ""
)</f>
        <v>Alta</v>
      </c>
      <c r="I26" s="57" t="s">
        <v>132</v>
      </c>
      <c r="J26" s="105" t="s">
        <v>67</v>
      </c>
      <c r="K26" s="111" t="s">
        <v>60</v>
      </c>
      <c r="L26" s="50">
        <v>46118</v>
      </c>
      <c r="M26" s="50">
        <v>46142</v>
      </c>
      <c r="N26" s="107" t="s">
        <v>53</v>
      </c>
      <c r="O26" s="58" t="s">
        <v>54</v>
      </c>
      <c r="P26" s="43"/>
      <c r="Q26" s="43"/>
      <c r="R26" s="43"/>
      <c r="S26" s="43"/>
      <c r="T26" s="44"/>
      <c r="U26" s="44"/>
      <c r="V26" s="41"/>
      <c r="W26" s="41"/>
      <c r="X26" s="42" t="str" cm="1">
        <f t="array" ref="X26">_xlfn.XLOOKUP(
  1,
  (Matriz!V26=Referencias!$A$19:$A$28)*(Matriz!W26=Referencias!$B$19:$B$28),
  Referencias!$C$19:$C$28,
  ""
)</f>
        <v/>
      </c>
      <c r="Y26" s="39" t="str">
        <f>IFERROR(IF(
   E26="Riesgo",
   VLOOKUP(Tabla1[[#This Row],[Criticidad2]], Referencias!$A$47:$B$49, 2, FALSE),
   IF(
      AND(E26="Oportunidad", U26="No eficaz"),
      VLOOKUP(U26, Referencias!$A$50:$B$50, 2, FALSE),
      ""
   )
),"")</f>
        <v/>
      </c>
    </row>
    <row r="27" spans="1:25" ht="55.15">
      <c r="A27" s="56" t="s">
        <v>43</v>
      </c>
      <c r="B27" s="46" t="s">
        <v>63</v>
      </c>
      <c r="C27" s="57" t="s">
        <v>133</v>
      </c>
      <c r="D27" s="57" t="s">
        <v>134</v>
      </c>
      <c r="E27" s="47" t="s">
        <v>47</v>
      </c>
      <c r="F27" s="48" t="s">
        <v>84</v>
      </c>
      <c r="G27" s="48" t="s">
        <v>49</v>
      </c>
      <c r="H27" s="49" t="str" cm="1">
        <f t="array" ref="H27">_xlfn.XLOOKUP(
  1,
  (Matriz!F27=Referencias!$A$19:$A$28)*(Matriz!G27=Referencias!$B$19:$B$28),
  Referencias!$C$19:$C$28,
  ""
)</f>
        <v>Alta</v>
      </c>
      <c r="I27" s="46" t="s">
        <v>135</v>
      </c>
      <c r="J27" s="105" t="s">
        <v>51</v>
      </c>
      <c r="K27" s="111" t="s">
        <v>60</v>
      </c>
      <c r="L27" s="50">
        <v>45810</v>
      </c>
      <c r="M27" s="50">
        <v>46203</v>
      </c>
      <c r="N27" s="107" t="s">
        <v>53</v>
      </c>
      <c r="O27" s="50" t="s">
        <v>54</v>
      </c>
      <c r="P27" s="43"/>
      <c r="Q27" s="43"/>
      <c r="R27" s="43"/>
      <c r="S27" s="43"/>
      <c r="T27" s="44"/>
      <c r="U27" s="44"/>
      <c r="V27" s="41"/>
      <c r="W27" s="41"/>
      <c r="X27" s="42" t="str" cm="1">
        <f t="array" ref="X27">_xlfn.XLOOKUP(
  1,
  (Matriz!V27=Referencias!$A$19:$A$28)*(Matriz!W27=Referencias!$B$19:$B$28),
  Referencias!$C$19:$C$28,
  ""
)</f>
        <v/>
      </c>
      <c r="Y27" s="39" t="str">
        <f>IFERROR(IF(
   E27="Riesgo",
   VLOOKUP(Tabla1[[#This Row],[Criticidad2]], Referencias!$A$47:$B$49, 2, FALSE),
   IF(
      AND(E27="Oportunidad", U27="No eficaz"),
      VLOOKUP(U27, Referencias!$A$50:$B$50, 2, FALSE),
      ""
   )
),"")</f>
        <v/>
      </c>
    </row>
    <row r="28" spans="1:25" ht="55.15">
      <c r="A28" s="56" t="s">
        <v>43</v>
      </c>
      <c r="B28" s="46" t="s">
        <v>44</v>
      </c>
      <c r="C28" s="57" t="s">
        <v>136</v>
      </c>
      <c r="D28" s="57" t="s">
        <v>137</v>
      </c>
      <c r="E28" s="47" t="s">
        <v>57</v>
      </c>
      <c r="F28" s="48" t="s">
        <v>48</v>
      </c>
      <c r="G28" s="48" t="s">
        <v>58</v>
      </c>
      <c r="H28" s="49" t="str" cm="1">
        <f t="array" ref="H28">_xlfn.XLOOKUP(
  1,
  (Matriz!F28=Referencias!$A$19:$A$28)*(Matriz!G28=Referencias!$B$19:$B$28),
  Referencias!$C$19:$C$28,
  ""
)</f>
        <v>Alta</v>
      </c>
      <c r="I28" s="46" t="s">
        <v>138</v>
      </c>
      <c r="J28" s="105" t="s">
        <v>76</v>
      </c>
      <c r="K28" s="111" t="s">
        <v>139</v>
      </c>
      <c r="L28" s="50">
        <v>45777</v>
      </c>
      <c r="M28" s="50">
        <v>46173</v>
      </c>
      <c r="N28" s="107" t="s">
        <v>53</v>
      </c>
      <c r="O28" s="50" t="s">
        <v>54</v>
      </c>
      <c r="P28" s="43"/>
      <c r="Q28" s="43"/>
      <c r="R28" s="43"/>
      <c r="S28" s="43"/>
      <c r="T28" s="44"/>
      <c r="U28" s="44"/>
      <c r="V28" s="41"/>
      <c r="W28" s="41"/>
      <c r="X28" s="42" t="str" cm="1">
        <f t="array" ref="X28">_xlfn.XLOOKUP(
  1,
  (Matriz!V28=Referencias!$A$19:$A$28)*(Matriz!W28=Referencias!$B$19:$B$28),
  Referencias!$C$19:$C$28,
  ""
)</f>
        <v/>
      </c>
      <c r="Y28" s="39" t="str">
        <f>IFERROR(IF(
   E28="Riesgo",
   VLOOKUP(Tabla1[[#This Row],[Criticidad2]], Referencias!$A$47:$B$49, 2, FALSE),
   IF(
      AND(E28="Oportunidad", U28="No eficaz"),
      VLOOKUP(U28, Referencias!$A$50:$B$50, 2, FALSE),
      ""
   )
),"")</f>
        <v/>
      </c>
    </row>
    <row r="29" spans="1:25" ht="69">
      <c r="A29" s="56" t="s">
        <v>43</v>
      </c>
      <c r="B29" s="46" t="s">
        <v>72</v>
      </c>
      <c r="C29" s="57" t="s">
        <v>140</v>
      </c>
      <c r="D29" s="57" t="s">
        <v>141</v>
      </c>
      <c r="E29" s="47" t="s">
        <v>47</v>
      </c>
      <c r="F29" s="48" t="s">
        <v>84</v>
      </c>
      <c r="G29" s="48" t="s">
        <v>95</v>
      </c>
      <c r="H29" s="49" t="str" cm="1">
        <f t="array" ref="H29">_xlfn.XLOOKUP(
  1,
  (Matriz!F29=Referencias!$A$19:$A$28)*(Matriz!G29=Referencias!$B$19:$B$28),
  Referencias!$C$19:$C$28,
  ""
)</f>
        <v>Baja</v>
      </c>
      <c r="I29" s="57" t="s">
        <v>142</v>
      </c>
      <c r="J29" s="105" t="s">
        <v>143</v>
      </c>
      <c r="K29" s="108" t="s">
        <v>86</v>
      </c>
      <c r="L29" s="50">
        <v>45775</v>
      </c>
      <c r="M29" s="50">
        <v>46203</v>
      </c>
      <c r="N29" s="107" t="s">
        <v>53</v>
      </c>
      <c r="O29" s="50" t="s">
        <v>62</v>
      </c>
      <c r="P29" s="43"/>
      <c r="Q29" s="43"/>
      <c r="R29" s="43"/>
      <c r="S29" s="43"/>
      <c r="T29" s="44"/>
      <c r="U29" s="44"/>
      <c r="V29" s="41"/>
      <c r="W29" s="41"/>
      <c r="X29" s="42" t="str" cm="1">
        <f t="array" ref="X29">_xlfn.XLOOKUP(
  1,
  (Matriz!V29=Referencias!$A$19:$A$28)*(Matriz!W29=Referencias!$B$19:$B$28),
  Referencias!$C$19:$C$28,
  ""
)</f>
        <v/>
      </c>
      <c r="Y29" s="39" t="str">
        <f>IFERROR(IF(
   E29="Riesgo",
   VLOOKUP(Tabla1[[#This Row],[Criticidad2]], Referencias!$A$47:$B$49, 2, FALSE),
   IF(
      AND(E29="Oportunidad", U29="No eficaz"),
      VLOOKUP(U29, Referencias!$A$50:$B$50, 2, FALSE),
      ""
   )
),"")</f>
        <v/>
      </c>
    </row>
    <row r="30" spans="1:25" ht="41.45">
      <c r="A30" s="56" t="s">
        <v>43</v>
      </c>
      <c r="B30" s="46" t="s">
        <v>72</v>
      </c>
      <c r="C30" s="57" t="s">
        <v>144</v>
      </c>
      <c r="D30" s="57" t="s">
        <v>145</v>
      </c>
      <c r="E30" s="47" t="s">
        <v>47</v>
      </c>
      <c r="F30" s="48" t="s">
        <v>84</v>
      </c>
      <c r="G30" s="48" t="s">
        <v>95</v>
      </c>
      <c r="H30" s="49" t="str" cm="1">
        <f t="array" ref="H30">_xlfn.XLOOKUP(
  1,
  (Matriz!F30=Referencias!$A$19:$A$28)*(Matriz!G30=Referencias!$B$19:$B$28),
  Referencias!$C$19:$C$28,
  ""
)</f>
        <v>Baja</v>
      </c>
      <c r="I30" s="46" t="s">
        <v>146</v>
      </c>
      <c r="J30" s="105" t="s">
        <v>143</v>
      </c>
      <c r="K30" s="111" t="s">
        <v>60</v>
      </c>
      <c r="L30" s="50">
        <v>46118</v>
      </c>
      <c r="M30" s="50">
        <v>46203</v>
      </c>
      <c r="N30" s="107" t="s">
        <v>53</v>
      </c>
      <c r="O30" s="50" t="s">
        <v>54</v>
      </c>
      <c r="P30" s="43"/>
      <c r="Q30" s="43"/>
      <c r="R30" s="43"/>
      <c r="S30" s="43"/>
      <c r="T30" s="44"/>
      <c r="U30" s="44"/>
      <c r="V30" s="41"/>
      <c r="W30" s="41"/>
      <c r="X30" s="42" t="str" cm="1">
        <f t="array" ref="X30">_xlfn.XLOOKUP(
  1,
  (Matriz!V30=Referencias!$A$19:$A$28)*(Matriz!W30=Referencias!$B$19:$B$28),
  Referencias!$C$19:$C$28,
  ""
)</f>
        <v/>
      </c>
      <c r="Y30" s="39" t="str">
        <f>IFERROR(IF(
   E30="Riesgo",
   VLOOKUP(Tabla1[[#This Row],[Criticidad2]], Referencias!$A$47:$B$49, 2, FALSE),
   IF(
      AND(E30="Oportunidad", U30="No eficaz"),
      VLOOKUP(U30, Referencias!$A$50:$B$50, 2, FALSE),
      ""
   )
),"")</f>
        <v/>
      </c>
    </row>
    <row r="31" spans="1:25" ht="151.9">
      <c r="A31" s="56" t="s">
        <v>43</v>
      </c>
      <c r="B31" s="46" t="s">
        <v>44</v>
      </c>
      <c r="C31" s="57" t="s">
        <v>147</v>
      </c>
      <c r="D31" s="57" t="s">
        <v>148</v>
      </c>
      <c r="E31" s="59" t="s">
        <v>57</v>
      </c>
      <c r="F31" s="48" t="s">
        <v>48</v>
      </c>
      <c r="G31" s="48" t="s">
        <v>58</v>
      </c>
      <c r="H31" s="49" t="str" cm="1">
        <f t="array" ref="H31">_xlfn.XLOOKUP(
  1,
  (Matriz!F31=Referencias!$A$19:$A$28)*(Matriz!G31=Referencias!$B$19:$B$28),
  Referencias!$C$19:$C$28,
  ""
)</f>
        <v>Alta</v>
      </c>
      <c r="I31" s="46" t="s">
        <v>149</v>
      </c>
      <c r="J31" s="66" t="s">
        <v>51</v>
      </c>
      <c r="K31" s="59" t="s">
        <v>150</v>
      </c>
      <c r="L31" s="58">
        <v>46118</v>
      </c>
      <c r="M31" s="58">
        <v>46264</v>
      </c>
      <c r="N31" s="60" t="s">
        <v>151</v>
      </c>
      <c r="O31" s="58" t="s">
        <v>54</v>
      </c>
      <c r="P31" s="43"/>
      <c r="Q31" s="43"/>
      <c r="R31" s="43"/>
      <c r="S31" s="43"/>
      <c r="T31" s="44"/>
      <c r="U31" s="44"/>
      <c r="V31" s="41"/>
      <c r="W31" s="41"/>
      <c r="X31" s="42" t="str" cm="1">
        <f t="array" ref="X31">_xlfn.XLOOKUP(
  1,
  (Matriz!V31=Referencias!$A$19:$A$28)*(Matriz!W31=Referencias!$B$19:$B$28),
  Referencias!$C$19:$C$28,
  ""
)</f>
        <v/>
      </c>
      <c r="Y31" s="39" t="str">
        <f>IFERROR(IF(
   E31="Riesgo",
   VLOOKUP(Tabla1[[#This Row],[Criticidad2]], Referencias!$A$47:$B$49, 2, FALSE),
   IF(
      AND(E31="Oportunidad", U31="No eficaz"),
      VLOOKUP(U31, Referencias!$A$50:$B$50, 2, FALSE),
      ""
   )
),"")</f>
        <v/>
      </c>
    </row>
    <row r="32" spans="1:25" ht="96.6">
      <c r="A32" s="56" t="s">
        <v>43</v>
      </c>
      <c r="B32" s="46" t="s">
        <v>63</v>
      </c>
      <c r="C32" s="57" t="s">
        <v>152</v>
      </c>
      <c r="D32" s="57" t="s">
        <v>153</v>
      </c>
      <c r="E32" s="59" t="s">
        <v>57</v>
      </c>
      <c r="F32" s="48" t="s">
        <v>48</v>
      </c>
      <c r="G32" s="48" t="s">
        <v>58</v>
      </c>
      <c r="H32" s="49" t="str" cm="1">
        <f t="array" ref="H32">_xlfn.XLOOKUP(
  1,
  (Matriz!F32=Referencias!$A$19:$A$28)*(Matriz!G32=Referencias!$B$19:$B$28),
  Referencias!$C$19:$C$28,
  ""
)</f>
        <v>Alta</v>
      </c>
      <c r="I32" s="46" t="s">
        <v>154</v>
      </c>
      <c r="J32" s="66" t="s">
        <v>51</v>
      </c>
      <c r="K32" s="59" t="s">
        <v>150</v>
      </c>
      <c r="L32" s="58">
        <v>46085</v>
      </c>
      <c r="M32" s="58">
        <v>46387</v>
      </c>
      <c r="N32" s="60" t="s">
        <v>91</v>
      </c>
      <c r="O32" s="58" t="s">
        <v>62</v>
      </c>
      <c r="P32" s="43"/>
      <c r="Q32" s="43"/>
      <c r="R32" s="43"/>
      <c r="S32" s="43"/>
      <c r="T32" s="44"/>
      <c r="U32" s="44"/>
      <c r="V32" s="41"/>
      <c r="W32" s="41"/>
      <c r="X32" s="42" t="str" cm="1">
        <f t="array" ref="X32">_xlfn.XLOOKUP(
  1,
  (Matriz!V32=Referencias!$A$19:$A$28)*(Matriz!W32=Referencias!$B$19:$B$28),
  Referencias!$C$19:$C$28,
  ""
)</f>
        <v/>
      </c>
      <c r="Y32" s="39" t="str">
        <f>IFERROR(IF(
   E32="Riesgo",
   VLOOKUP(Tabla1[[#This Row],[Criticidad2]], Referencias!$A$47:$B$49, 2, FALSE),
   IF(
      AND(E32="Oportunidad", U32="No eficaz"),
      VLOOKUP(U32, Referencias!$A$50:$B$50, 2, FALSE),
      ""
   )
),"")</f>
        <v/>
      </c>
    </row>
    <row r="33" spans="1:25" ht="55.15">
      <c r="A33" s="56" t="s">
        <v>43</v>
      </c>
      <c r="B33" s="46" t="s">
        <v>92</v>
      </c>
      <c r="C33" s="57" t="s">
        <v>155</v>
      </c>
      <c r="D33" s="57" t="s">
        <v>156</v>
      </c>
      <c r="E33" s="59" t="s">
        <v>47</v>
      </c>
      <c r="F33" s="48" t="s">
        <v>48</v>
      </c>
      <c r="G33" s="48" t="s">
        <v>95</v>
      </c>
      <c r="H33" s="49" t="str" cm="1">
        <f t="array" ref="H33">_xlfn.XLOOKUP(
  1,
  (Matriz!F33=Referencias!$A$19:$A$28)*(Matriz!G33=Referencias!$B$19:$B$28),
  Referencias!$C$19:$C$28,
  ""
)</f>
        <v>Media</v>
      </c>
      <c r="I33" s="46" t="s">
        <v>157</v>
      </c>
      <c r="J33" s="66" t="s">
        <v>76</v>
      </c>
      <c r="K33" s="59" t="s">
        <v>158</v>
      </c>
      <c r="L33" s="58">
        <v>46116</v>
      </c>
      <c r="M33" s="58">
        <v>46177</v>
      </c>
      <c r="N33" s="60" t="s">
        <v>151</v>
      </c>
      <c r="O33" s="58" t="s">
        <v>54</v>
      </c>
      <c r="P33" s="43"/>
      <c r="Q33" s="43"/>
      <c r="R33" s="43"/>
      <c r="S33" s="43"/>
      <c r="T33" s="44"/>
      <c r="U33" s="44"/>
      <c r="V33" s="41"/>
      <c r="W33" s="41"/>
      <c r="X33" s="42" t="str" cm="1">
        <f t="array" ref="X33">_xlfn.XLOOKUP(
  1,
  (Matriz!V33=Referencias!$A$19:$A$28)*(Matriz!W33=Referencias!$B$19:$B$28),
  Referencias!$C$19:$C$28,
  ""
)</f>
        <v/>
      </c>
      <c r="Y33" s="39" t="str">
        <f>IFERROR(IF(
   E33="Riesgo",
   VLOOKUP(Tabla1[[#This Row],[Criticidad2]], Referencias!$A$47:$B$49, 2, FALSE),
   IF(
      AND(E33="Oportunidad", U33="No eficaz"),
      VLOOKUP(U33, Referencias!$A$50:$B$50, 2, FALSE),
      ""
   )
),"")</f>
        <v/>
      </c>
    </row>
    <row r="34" spans="1:25" ht="96.6">
      <c r="A34" s="56" t="s">
        <v>43</v>
      </c>
      <c r="B34" s="46" t="s">
        <v>159</v>
      </c>
      <c r="C34" s="57" t="s">
        <v>160</v>
      </c>
      <c r="D34" s="57" t="s">
        <v>161</v>
      </c>
      <c r="E34" s="59" t="s">
        <v>57</v>
      </c>
      <c r="F34" s="48" t="s">
        <v>48</v>
      </c>
      <c r="G34" s="48" t="s">
        <v>58</v>
      </c>
      <c r="H34" s="49" t="str" cm="1">
        <f t="array" ref="H34">_xlfn.XLOOKUP(
  1,
  (Matriz!F34=Referencias!$A$19:$A$28)*(Matriz!G34=Referencias!$B$19:$B$28),
  Referencias!$C$19:$C$28,
  ""
)</f>
        <v>Alta</v>
      </c>
      <c r="I34" s="46" t="s">
        <v>162</v>
      </c>
      <c r="J34" s="66" t="s">
        <v>51</v>
      </c>
      <c r="K34" s="59" t="s">
        <v>158</v>
      </c>
      <c r="L34" s="58">
        <v>46099</v>
      </c>
      <c r="M34" s="58">
        <v>46203</v>
      </c>
      <c r="N34" s="60" t="s">
        <v>151</v>
      </c>
      <c r="O34" s="50" t="s">
        <v>62</v>
      </c>
      <c r="P34" s="43"/>
      <c r="Q34" s="43"/>
      <c r="R34" s="43"/>
      <c r="S34" s="43"/>
      <c r="T34" s="44"/>
      <c r="U34" s="44"/>
      <c r="V34" s="41"/>
      <c r="W34" s="41"/>
      <c r="X34" s="42" t="str" cm="1">
        <f t="array" ref="X34">_xlfn.XLOOKUP(
  1,
  (Matriz!V34=Referencias!$A$19:$A$28)*(Matriz!W34=Referencias!$B$19:$B$28),
  Referencias!$C$19:$C$28,
  ""
)</f>
        <v/>
      </c>
      <c r="Y34" s="39" t="str">
        <f>IFERROR(IF(
   E34="Riesgo",
   VLOOKUP(Tabla1[[#This Row],[Criticidad2]], Referencias!$A$47:$B$49, 2, FALSE),
   IF(
      AND(E34="Oportunidad", U34="No eficaz"),
      VLOOKUP(U34, Referencias!$A$50:$B$50, 2, FALSE),
      ""
   )
),"")</f>
        <v/>
      </c>
    </row>
    <row r="35" spans="1:25" ht="51" customHeight="1">
      <c r="A35" s="26" t="s">
        <v>43</v>
      </c>
      <c r="B35" s="17" t="s">
        <v>163</v>
      </c>
      <c r="C35" s="65" t="s">
        <v>164</v>
      </c>
      <c r="D35" s="65" t="s">
        <v>165</v>
      </c>
      <c r="E35" s="61" t="s">
        <v>47</v>
      </c>
      <c r="F35" s="41" t="s">
        <v>48</v>
      </c>
      <c r="G35" s="41" t="s">
        <v>49</v>
      </c>
      <c r="H35" s="42" t="str" cm="1">
        <f t="array" ref="H35">_xlfn.XLOOKUP(
  1,
  (Matriz!F35=Referencias!$A$19:$A$28)*(Matriz!G35=Referencias!$B$19:$B$28),
  Referencias!$C$19:$C$28,
  ""
)</f>
        <v>Alta</v>
      </c>
      <c r="I35" s="17" t="s">
        <v>166</v>
      </c>
      <c r="J35" s="43" t="s">
        <v>76</v>
      </c>
      <c r="K35" s="61" t="s">
        <v>167</v>
      </c>
      <c r="L35" s="62">
        <v>46071</v>
      </c>
      <c r="M35" s="62">
        <v>46386</v>
      </c>
      <c r="N35" s="63" t="s">
        <v>151</v>
      </c>
      <c r="O35" s="62" t="s">
        <v>62</v>
      </c>
      <c r="P35" s="43"/>
      <c r="Q35" s="43"/>
      <c r="R35" s="43"/>
      <c r="S35" s="43"/>
      <c r="T35" s="44"/>
      <c r="U35" s="44"/>
      <c r="V35" s="41"/>
      <c r="W35" s="41"/>
      <c r="X35" s="42" t="str" cm="1">
        <f t="array" ref="X35">_xlfn.XLOOKUP(
  1,
  (Matriz!V35=Referencias!$A$19:$A$28)*(Matriz!W35=Referencias!$B$19:$B$28),
  Referencias!$C$19:$C$28,
  ""
)</f>
        <v/>
      </c>
      <c r="Y35" s="39" t="str">
        <f>IFERROR(IF(
   E35="Riesgo",
   VLOOKUP(Tabla1[[#This Row],[Criticidad2]], Referencias!$A$47:$B$49, 2, FALSE),
   IF(
      AND(E35="Oportunidad", U35="No eficaz"),
      VLOOKUP(U35, Referencias!$A$50:$B$50, 2, FALSE),
      ""
   )
),"")</f>
        <v/>
      </c>
    </row>
  </sheetData>
  <dataConsolidate/>
  <mergeCells count="14">
    <mergeCell ref="A5:H5"/>
    <mergeCell ref="G1:H1"/>
    <mergeCell ref="B1:F2"/>
    <mergeCell ref="B3:F3"/>
    <mergeCell ref="B4:F4"/>
    <mergeCell ref="G2:H2"/>
    <mergeCell ref="G3:H3"/>
    <mergeCell ref="G4:H4"/>
    <mergeCell ref="O7:S7"/>
    <mergeCell ref="I7:N7"/>
    <mergeCell ref="V7:X7"/>
    <mergeCell ref="A7:H7"/>
    <mergeCell ref="A6:B6"/>
    <mergeCell ref="T7:U7"/>
  </mergeCells>
  <phoneticPr fontId="4" type="noConversion"/>
  <conditionalFormatting sqref="A7 C9:E9 A9:B20 A9:A35 E10:E30 A21:D21 A22:B25 B26:B27 C27:D27 A28:D28 A29:B30 A31:E1048576">
    <cfRule type="containsText" dxfId="41" priority="46" operator="containsText" text="Oportunidad">
      <formula>NOT(ISERROR(SEARCH("Oportunidad",A7)))</formula>
    </cfRule>
    <cfRule type="containsText" dxfId="40" priority="47" operator="containsText" text="Riesgo">
      <formula>NOT(ISERROR(SEARCH("Riesgo",A7)))</formula>
    </cfRule>
  </conditionalFormatting>
  <conditionalFormatting sqref="I26">
    <cfRule type="cellIs" dxfId="39" priority="7" operator="equal">
      <formula>"No necesita acción"</formula>
    </cfRule>
    <cfRule type="cellIs" dxfId="38" priority="8" operator="equal">
      <formula>"Considerar acción"</formula>
    </cfRule>
    <cfRule type="cellIs" dxfId="37" priority="9" operator="equal">
      <formula>"Requiere acción"</formula>
    </cfRule>
  </conditionalFormatting>
  <conditionalFormatting sqref="X1:X1048576 H8:H1048576">
    <cfRule type="cellIs" dxfId="36" priority="39" operator="equal">
      <formula>"N/a"</formula>
    </cfRule>
    <cfRule type="cellIs" dxfId="35" priority="43" operator="equal">
      <formula>"Baja"</formula>
    </cfRule>
    <cfRule type="cellIs" dxfId="34" priority="44" operator="equal">
      <formula>"Media"</formula>
    </cfRule>
    <cfRule type="cellIs" dxfId="33" priority="45" operator="equal">
      <formula>"Alta"</formula>
    </cfRule>
  </conditionalFormatting>
  <dataValidations xWindow="556" yWindow="321" count="23">
    <dataValidation allowBlank="1" showInputMessage="1" showErrorMessage="1" prompt="No modificar este campo" sqref="Y8" xr:uid="{00000000-0002-0000-0000-000002000000}"/>
    <dataValidation type="list" allowBlank="1" showInputMessage="1" showErrorMessage="1" sqref="O16 O21" xr:uid="{D7BE739C-C064-458C-B90D-F4B51B2AA094}">
      <formula1>"No iniciado,En proceso,Finalizado"</formula1>
    </dataValidation>
    <dataValidation allowBlank="1" showInputMessage="1" showErrorMessage="1" prompt="Son los recursos necesarios. Por ejemplo: recursos económicos, tecnológicos, humanos, vehículos, etc" sqref="K8" xr:uid="{2072FA25-F26F-4679-AAC1-6267EC9B9CE0}"/>
    <dataValidation allowBlank="1" showInputMessage="1" showErrorMessage="1" prompt="Se refiere al responsable de ejecutar las acciones" sqref="J8" xr:uid="{39F1FC83-3205-4233-97DD-7FA1CE072732}"/>
    <dataValidation allowBlank="1" showInputMessage="1" showErrorMessage="1" prompt="Acciones para riesgos: Son las acciones que se deben ejecutar para reducir la probabilidad, reducir el impacto o controlar el riesgo. _x000a__x000a_Acciones para oportunidades: Son las acciones a ejecutar para capitalizar, es decir, hacer realidad esa oportunidad." sqref="I8" xr:uid="{FDB0AE92-310F-44B7-BDB5-726B1E0712F1}"/>
    <dataValidation allowBlank="1" showInputMessage="1" showErrorMessage="1" prompt="Escriba el nombre de un proceso de su área, que figure en su mapa de procesos" sqref="B8" xr:uid="{D748A841-3393-4C1D-AEAB-569A7987623C}"/>
    <dataValidation allowBlank="1" showInputMessage="1" showErrorMessage="1" prompt="*Poco posible o improbable: Ocurre de manera excepcional. No se espera en condiciones normales._x000a_*Algo posible: Puede ocurrir en el trabajo habitual, aunque no es frecuente._x000a_*Muy posible: Es probable que ocurra y puede repetirse varias veces en el año." sqref="V8 F8" xr:uid="{98E19966-E4D9-47CD-AFDE-48B6C62DE457}"/>
    <dataValidation allowBlank="1" showInputMessage="1" showErrorMessage="1" prompt="*Bajo impacto: Efecto menor. Poco perceptible._x000a_*Medio impacto: Efecto apreciable. Requiere atención._x000a_*Alto impacto: Efecto significativo. Consecuencias relevantes." sqref="G8 W8" xr:uid="{0F50F919-C9E9-44FB-AB85-1647C3AB8ECB}"/>
    <dataValidation allowBlank="1" showInputMessage="1" showErrorMessage="1" prompt="Si es un riesgo: describir qué podría salir mal y cómo afectaría a los objetivos del proceso._x000a_Si es una oportunidad: describir mejoras que impacte en objetivos, riesgos o planificación del área. No incluir mejoras operativas puntuales(registrar en F-GC-07" sqref="D9" xr:uid="{C30E37DA-07AA-4449-9464-7BD2895C0C4C}"/>
    <dataValidation allowBlank="1" showInputMessage="1" showErrorMessage="1" prompt="La declaración de eficacia es la conclusión que el responsable emite en función del resultado observado. Se determina si la acción fue eficaz, parcialmente eficaz o no eficaz, según el impacto real que tuvo sobre el riesgo u oportunidad." sqref="U8" xr:uid="{3705E375-BCA9-49AC-AC66-BCE63B8DEAC1}"/>
    <dataValidation allowBlank="1" showInputMessage="1" showErrorMessage="1" prompt="El resultado observado es evidencia objetiva del comportamiento del riesgo/oportunidad." sqref="T8" xr:uid="{3F351E82-DCFF-4657-8F07-C898C5680192}"/>
    <dataValidation allowBlank="1" showInputMessage="1" showErrorMessage="1" prompt="Sólo completar si necesita acciones para tratar el riesgo residual" sqref="I16 M16 I26" xr:uid="{4F26FCA0-CBD8-4A60-870E-1DE6FC06889A}"/>
    <dataValidation allowBlank="1" showInputMessage="1" showErrorMessage="1" prompt="Se refiere a la frecuencia en la que va a realizar el seguimiento (semanal, cada 10 días, quincenal, mensual, bimensual, trimestral, cuatrimestral, semestral, etc)" sqref="N8:N35" xr:uid="{3269AEA6-C6CF-421C-B045-925F7948FED2}"/>
    <dataValidation type="list" allowBlank="1" showInputMessage="1" showErrorMessage="1" sqref="E9:E35" xr:uid="{00000000-0002-0000-0000-000000000000}">
      <formula1>"Oportunidad,Riesgo"</formula1>
    </dataValidation>
    <dataValidation type="list" allowBlank="1" showInputMessage="1" showErrorMessage="1" promptTitle="SELECCIONE UNA OPCIÓN" prompt="*Poco posible o improbable: Ocurre de manera excepcional. No se espera en condiciones normales._x000a_*Algo posible: Puede ocurrir en el trabajo habitual, aunque no es frecuente._x000a_*Muy posible: Es probable que ocurra y puede repetirse varias veces en el año." sqref="F9:F1048576" xr:uid="{C326C11A-D0ED-4636-910A-4D41F92FC8A2}">
      <formula1>"Poco posible o improbable,Algo posible,Muy posible"</formula1>
    </dataValidation>
    <dataValidation type="list" allowBlank="1" showInputMessage="1" showErrorMessage="1" promptTitle="CAMPO APLICABLE A RIESGOS" prompt="*Poco posible o improbable: Ocurre de manera excepcional. No se espera en condiciones normales._x000a_*Algo posible: Puede ocurrir en el trabajo habitual, aunque no es frecuente._x000a_*Muy posible: Es probable que ocurra y puede repetirse varias veces en el año." sqref="V9:V1048576" xr:uid="{7266CEA3-A195-4C9C-9E45-0F358C64A7F3}">
      <formula1>"Poco posible o improbable,Algo posible,Muy posible,N/A"</formula1>
    </dataValidation>
    <dataValidation type="list" allowBlank="1" showInputMessage="1" showErrorMessage="1" promptTitle="SELECCIONE UNA OPCIÓN" prompt="*Bajo impacto: Efecto menor, poco perceptible en el desempeño del proceso._x000a_*Medio impacto: Efecto apreciable, requiere atención o ajustes._x000a_*Alto impacto: Efecto significativo con consecuencias relevantes para el proceso o los objetivos del proceso." sqref="G9:G1048576" xr:uid="{D1994D47-4EA1-4D43-8E6C-4C50383E7606}">
      <formula1>"Bajo impacto, Medio impacto, Alto impacto"</formula1>
    </dataValidation>
    <dataValidation type="list" allowBlank="1" showInputMessage="1" showErrorMessage="1" promptTitle="CAMPO APLICABLE A RIESGOS" prompt="*Bajo impacto: Efecto menor, poco perceptible en el desempeño del proceso._x000a_*Medio impacto: Efecto apreciable, requiere atención o ajustes._x000a_*Alto impacto: Efecto significativo con consecuencias relevantes para el proceso o los objetivos del proceso." sqref="W9:W1048576" xr:uid="{B2F9A2BF-E0C4-4155-AEC7-5B00B30DFBAD}">
      <formula1>"Bajo impacto, Medio impacto, Alto impacto,N/A"</formula1>
    </dataValidation>
    <dataValidation allowBlank="1" showInputMessage="1" showErrorMessage="1" promptTitle="CAMPO CON FÓRMULA" prompt="*Baja: Genere acciones cuando el equipo considere que su gestión agrega valor al proceso._x000a_*Media: Requiere definición de acciones y seguimiento planificado._x000a_*Alta: Requiere acciones formales y seguimiento frecuente. El compromiso del equipo es clave." sqref="H8:H1048576 X8:X1048576" xr:uid="{69463E9B-86E9-45C8-8F54-9FDA99854A11}"/>
    <dataValidation allowBlank="1" showInputMessage="1" showErrorMessage="1" promptTitle="CAMPO CON FÓRMULA" prompt="Lea con atención la recomendación del SGC" sqref="Y9:Y1048576" xr:uid="{72AD36A9-AA49-4BBC-8CEC-D2E1F2E9D074}"/>
    <dataValidation allowBlank="1" showInputMessage="1" showErrorMessage="1" prompt="Identifique a qué proceso de su mapa de procesos corresponde._x000a__x000a_Si no es un proceso de su área ingrese a la carpeta SGC-Administración y revise a qué proceso corresponde" sqref="B9:B1048576" xr:uid="{FE23FB90-F851-42D1-A7DA-373DF90DB797}"/>
    <dataValidation type="list" allowBlank="1" showInputMessage="1" promptTitle="IMPORTANTE" prompt="El resultado observado es evidencia objetiva del comportamiento del riesgo/oportunidad." sqref="T9:T1048576" xr:uid="{DF6D41F7-4378-49EE-9F40-10AC65E666A0}">
      <formula1>"Disminuyó probabilidad,Disminuyó impacto,Se mantiene estable,No hubo nuevas ocurrencias,Se registraron nuevas ocurrencias,Otro (escriba en este campo los resultados obtenidos)"</formula1>
    </dataValidation>
    <dataValidation type="list" allowBlank="1" showInputMessage="1" showErrorMessage="1" promptTitle="IMPORTANTE" prompt="La declaración de eficacia es la conclusión que el responsable emite en función del resultado observado. Se determina si la acción fue eficaz, parcialmente eficaz o no eficaz, según el impacto real que tuvo sobre el riesgo u oportunidad." sqref="U9:U1048576" xr:uid="{65D4B275-D2AD-4F98-8B42-545ADC1F8ED3}">
      <formula1>"Eficaz,Parcialmente eficaz,No eficaz"</formula1>
    </dataValidation>
  </dataValidations>
  <pageMargins left="0.25" right="0.25" top="0.75" bottom="0.75" header="0.3" footer="0.3"/>
  <pageSetup paperSize="9" scale="21"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xWindow="556" yWindow="321" count="1">
        <x14:dataValidation type="list" allowBlank="1" showInputMessage="1" showErrorMessage="1" xr:uid="{D5059AA2-8EC5-4268-85CF-8693D699DF96}">
          <x14:formula1>
            <xm:f>Referencias!$A$31:$A$44</xm:f>
          </x14:formula1>
          <xm:sqref>A9:A1048576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0D503-97DF-4F48-8CE9-BE35D6568151}">
  <dimension ref="A1:H53"/>
  <sheetViews>
    <sheetView showGridLines="0" zoomScale="85" zoomScaleNormal="85" workbookViewId="0">
      <selection activeCell="B50" sqref="B50"/>
    </sheetView>
  </sheetViews>
  <sheetFormatPr defaultColWidth="11.42578125" defaultRowHeight="14.45" outlineLevelRow="1"/>
  <cols>
    <col min="1" max="1" width="13" customWidth="1"/>
    <col min="2" max="2" width="14.42578125" customWidth="1"/>
    <col min="3" max="3" width="15.28515625" customWidth="1"/>
    <col min="4" max="4" width="16.7109375" customWidth="1"/>
    <col min="5" max="5" width="15" customWidth="1"/>
    <col min="6" max="6" width="11.28515625" customWidth="1"/>
    <col min="7" max="7" width="10.7109375" customWidth="1"/>
    <col min="8" max="8" width="33.42578125" customWidth="1"/>
  </cols>
  <sheetData>
    <row r="1" spans="1:8" ht="34.9" customHeight="1">
      <c r="A1" s="99" t="s">
        <v>168</v>
      </c>
      <c r="B1" s="6" t="s">
        <v>169</v>
      </c>
      <c r="C1" s="3" t="s">
        <v>170</v>
      </c>
      <c r="D1" s="4" t="s">
        <v>171</v>
      </c>
      <c r="E1" s="4" t="s">
        <v>171</v>
      </c>
    </row>
    <row r="2" spans="1:8" ht="34.9" customHeight="1">
      <c r="A2" s="99"/>
      <c r="B2" s="6" t="s">
        <v>172</v>
      </c>
      <c r="C2" s="5" t="s">
        <v>173</v>
      </c>
      <c r="D2" s="3" t="s">
        <v>170</v>
      </c>
      <c r="E2" s="4" t="s">
        <v>171</v>
      </c>
    </row>
    <row r="3" spans="1:8" ht="34.9" customHeight="1">
      <c r="A3" s="99"/>
      <c r="B3" s="6" t="s">
        <v>174</v>
      </c>
      <c r="C3" s="5" t="s">
        <v>173</v>
      </c>
      <c r="D3" s="5" t="s">
        <v>173</v>
      </c>
      <c r="E3" s="3" t="s">
        <v>170</v>
      </c>
    </row>
    <row r="4" spans="1:8">
      <c r="B4" s="2"/>
      <c r="C4" s="7" t="s">
        <v>175</v>
      </c>
      <c r="D4" s="7" t="s">
        <v>176</v>
      </c>
      <c r="E4" s="7" t="s">
        <v>177</v>
      </c>
    </row>
    <row r="5" spans="1:8">
      <c r="B5" s="2"/>
      <c r="C5" s="100" t="s">
        <v>178</v>
      </c>
      <c r="D5" s="100"/>
      <c r="E5" s="100"/>
    </row>
    <row r="7" spans="1:8">
      <c r="A7" s="12" t="s">
        <v>179</v>
      </c>
      <c r="E7" s="13"/>
    </row>
    <row r="8" spans="1:8">
      <c r="A8" s="14" t="s">
        <v>180</v>
      </c>
      <c r="B8" s="14" t="s">
        <v>48</v>
      </c>
      <c r="C8" s="14" t="s">
        <v>181</v>
      </c>
      <c r="D8" s="15"/>
      <c r="E8" s="14"/>
      <c r="F8" s="15"/>
      <c r="G8" s="15"/>
      <c r="H8" s="15"/>
    </row>
    <row r="9" spans="1:8">
      <c r="A9" s="14" t="s">
        <v>180</v>
      </c>
      <c r="B9" s="14" t="s">
        <v>84</v>
      </c>
      <c r="C9" s="14" t="s">
        <v>182</v>
      </c>
      <c r="D9" s="15"/>
      <c r="E9" s="14"/>
      <c r="F9" s="15"/>
      <c r="G9" s="15"/>
      <c r="H9" s="15"/>
    </row>
    <row r="10" spans="1:8" ht="28.9">
      <c r="A10" s="14" t="s">
        <v>180</v>
      </c>
      <c r="B10" s="16" t="s">
        <v>111</v>
      </c>
      <c r="C10" s="14" t="s">
        <v>183</v>
      </c>
      <c r="D10" s="15"/>
      <c r="E10" s="14"/>
      <c r="F10" s="15"/>
      <c r="G10" s="15"/>
      <c r="H10" s="15"/>
    </row>
    <row r="11" spans="1:8">
      <c r="A11" s="14" t="s">
        <v>184</v>
      </c>
      <c r="B11" s="14" t="s">
        <v>49</v>
      </c>
      <c r="C11" s="14" t="s">
        <v>185</v>
      </c>
      <c r="D11" s="15"/>
      <c r="E11" s="14"/>
      <c r="F11" s="15"/>
      <c r="G11" s="15"/>
      <c r="H11" s="15"/>
    </row>
    <row r="12" spans="1:8">
      <c r="A12" s="14" t="s">
        <v>184</v>
      </c>
      <c r="B12" s="14" t="s">
        <v>58</v>
      </c>
      <c r="C12" s="14" t="s">
        <v>186</v>
      </c>
      <c r="D12" s="15"/>
      <c r="E12" s="14"/>
      <c r="F12" s="15"/>
      <c r="G12" s="15"/>
      <c r="H12" s="15"/>
    </row>
    <row r="13" spans="1:8">
      <c r="A13" s="14" t="s">
        <v>184</v>
      </c>
      <c r="B13" s="14" t="s">
        <v>95</v>
      </c>
      <c r="C13" s="14" t="s">
        <v>187</v>
      </c>
      <c r="D13" s="15"/>
      <c r="E13" s="14"/>
      <c r="F13" s="15"/>
      <c r="G13" s="15"/>
      <c r="H13" s="15"/>
    </row>
    <row r="14" spans="1:8">
      <c r="A14" s="14" t="s">
        <v>25</v>
      </c>
      <c r="B14" s="14" t="s">
        <v>188</v>
      </c>
      <c r="C14" s="14" t="s">
        <v>189</v>
      </c>
      <c r="D14" s="15"/>
      <c r="E14" s="14"/>
      <c r="F14" s="15"/>
      <c r="G14" s="15"/>
      <c r="H14" s="15"/>
    </row>
    <row r="15" spans="1:8">
      <c r="A15" s="14" t="s">
        <v>25</v>
      </c>
      <c r="B15" s="14" t="s">
        <v>173</v>
      </c>
      <c r="C15" s="14" t="s">
        <v>190</v>
      </c>
      <c r="D15" s="15"/>
      <c r="E15" s="14"/>
      <c r="F15" s="15"/>
      <c r="G15" s="15"/>
      <c r="H15" s="15"/>
    </row>
    <row r="16" spans="1:8">
      <c r="A16" s="14" t="s">
        <v>25</v>
      </c>
      <c r="B16" s="14" t="s">
        <v>191</v>
      </c>
      <c r="C16" s="14" t="s">
        <v>192</v>
      </c>
      <c r="D16" s="15"/>
      <c r="E16" s="14"/>
      <c r="F16" s="15"/>
      <c r="G16" s="15"/>
      <c r="H16" s="15"/>
    </row>
    <row r="18" spans="1:3" outlineLevel="1">
      <c r="A18" t="s">
        <v>180</v>
      </c>
      <c r="B18" t="s">
        <v>184</v>
      </c>
      <c r="C18" t="s">
        <v>25</v>
      </c>
    </row>
    <row r="19" spans="1:3" outlineLevel="1">
      <c r="A19" t="s">
        <v>111</v>
      </c>
      <c r="B19" t="s">
        <v>95</v>
      </c>
      <c r="C19" t="s">
        <v>173</v>
      </c>
    </row>
    <row r="20" spans="1:3" outlineLevel="1">
      <c r="A20" t="s">
        <v>84</v>
      </c>
      <c r="B20" t="s">
        <v>95</v>
      </c>
      <c r="C20" t="s">
        <v>173</v>
      </c>
    </row>
    <row r="21" spans="1:3" outlineLevel="1">
      <c r="A21" t="s">
        <v>48</v>
      </c>
      <c r="B21" t="s">
        <v>95</v>
      </c>
      <c r="C21" t="s">
        <v>191</v>
      </c>
    </row>
    <row r="22" spans="1:3" outlineLevel="1">
      <c r="A22" t="s">
        <v>111</v>
      </c>
      <c r="B22" t="s">
        <v>58</v>
      </c>
      <c r="C22" t="s">
        <v>173</v>
      </c>
    </row>
    <row r="23" spans="1:3" outlineLevel="1">
      <c r="A23" t="s">
        <v>84</v>
      </c>
      <c r="B23" t="s">
        <v>58</v>
      </c>
      <c r="C23" t="s">
        <v>191</v>
      </c>
    </row>
    <row r="24" spans="1:3" outlineLevel="1">
      <c r="A24" t="s">
        <v>48</v>
      </c>
      <c r="B24" t="s">
        <v>58</v>
      </c>
      <c r="C24" t="s">
        <v>188</v>
      </c>
    </row>
    <row r="25" spans="1:3" outlineLevel="1">
      <c r="A25" t="s">
        <v>111</v>
      </c>
      <c r="B25" t="s">
        <v>49</v>
      </c>
      <c r="C25" t="s">
        <v>191</v>
      </c>
    </row>
    <row r="26" spans="1:3" outlineLevel="1">
      <c r="A26" t="s">
        <v>84</v>
      </c>
      <c r="B26" t="s">
        <v>49</v>
      </c>
      <c r="C26" t="s">
        <v>188</v>
      </c>
    </row>
    <row r="27" spans="1:3" outlineLevel="1">
      <c r="A27" t="s">
        <v>48</v>
      </c>
      <c r="B27" t="s">
        <v>49</v>
      </c>
      <c r="C27" t="s">
        <v>188</v>
      </c>
    </row>
    <row r="28" spans="1:3" outlineLevel="1">
      <c r="A28" t="s">
        <v>193</v>
      </c>
      <c r="B28" t="s">
        <v>193</v>
      </c>
      <c r="C28" t="s">
        <v>193</v>
      </c>
    </row>
    <row r="29" spans="1:3" outlineLevel="1"/>
    <row r="30" spans="1:3" outlineLevel="1">
      <c r="A30" t="s">
        <v>194</v>
      </c>
    </row>
    <row r="31" spans="1:3" ht="13.9" customHeight="1" outlineLevel="1">
      <c r="A31" t="s">
        <v>195</v>
      </c>
    </row>
    <row r="32" spans="1:3" ht="13.9" customHeight="1" outlineLevel="1">
      <c r="A32" t="s">
        <v>196</v>
      </c>
    </row>
    <row r="33" spans="1:7" ht="13.9" customHeight="1" outlineLevel="1">
      <c r="A33" t="s">
        <v>197</v>
      </c>
    </row>
    <row r="34" spans="1:7" outlineLevel="1">
      <c r="A34" t="s">
        <v>198</v>
      </c>
      <c r="G34" s="2"/>
    </row>
    <row r="35" spans="1:7" outlineLevel="1">
      <c r="A35" t="s">
        <v>199</v>
      </c>
    </row>
    <row r="36" spans="1:7" outlineLevel="1">
      <c r="A36" t="s">
        <v>200</v>
      </c>
    </row>
    <row r="37" spans="1:7" outlineLevel="1">
      <c r="A37" t="s">
        <v>201</v>
      </c>
    </row>
    <row r="38" spans="1:7" outlineLevel="1">
      <c r="A38" t="s">
        <v>202</v>
      </c>
    </row>
    <row r="39" spans="1:7" outlineLevel="1">
      <c r="A39" t="s">
        <v>203</v>
      </c>
    </row>
    <row r="40" spans="1:7" outlineLevel="1">
      <c r="A40" t="s">
        <v>204</v>
      </c>
    </row>
    <row r="41" spans="1:7" outlineLevel="1">
      <c r="A41" t="s">
        <v>205</v>
      </c>
    </row>
    <row r="42" spans="1:7" outlineLevel="1">
      <c r="A42" t="s">
        <v>206</v>
      </c>
    </row>
    <row r="43" spans="1:7" outlineLevel="1">
      <c r="A43" t="s">
        <v>207</v>
      </c>
    </row>
    <row r="44" spans="1:7" outlineLevel="1">
      <c r="A44" t="s">
        <v>43</v>
      </c>
    </row>
    <row r="45" spans="1:7" outlineLevel="1"/>
    <row r="46" spans="1:7" outlineLevel="1">
      <c r="A46" s="9" t="s">
        <v>25</v>
      </c>
      <c r="B46" s="9" t="s">
        <v>208</v>
      </c>
    </row>
    <row r="47" spans="1:7" outlineLevel="1">
      <c r="A47" s="8" t="s">
        <v>173</v>
      </c>
      <c r="B47" s="10" t="s">
        <v>209</v>
      </c>
      <c r="C47" s="10"/>
    </row>
    <row r="48" spans="1:7" outlineLevel="1">
      <c r="A48" s="8" t="s">
        <v>191</v>
      </c>
      <c r="B48" s="8" t="s">
        <v>210</v>
      </c>
      <c r="C48" s="10"/>
    </row>
    <row r="49" spans="1:3" outlineLevel="1">
      <c r="A49" s="8" t="s">
        <v>188</v>
      </c>
      <c r="B49" s="8" t="s">
        <v>211</v>
      </c>
      <c r="C49" s="10"/>
    </row>
    <row r="50" spans="1:3" outlineLevel="1">
      <c r="A50" s="8" t="s">
        <v>212</v>
      </c>
      <c r="B50" s="10" t="s">
        <v>213</v>
      </c>
      <c r="C50" s="10"/>
    </row>
    <row r="53" spans="1:3" ht="37.9" customHeight="1"/>
  </sheetData>
  <sortState xmlns:xlrd2="http://schemas.microsoft.com/office/spreadsheetml/2017/richdata2" ref="A31:A44">
    <sortCondition ref="A31:A44"/>
  </sortState>
  <mergeCells count="2">
    <mergeCell ref="A1:A3"/>
    <mergeCell ref="C5:E5"/>
  </mergeCells>
  <pageMargins left="0.7" right="0.7" top="0.75" bottom="0.75" header="0.3" footer="0.3"/>
  <pageSetup paperSize="9" orientation="portrait"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8a9dd8d-4e54-4308-9e0b-21fd1a2e4809">
      <Terms xmlns="http://schemas.microsoft.com/office/infopath/2007/PartnerControls"/>
    </lcf76f155ced4ddcb4097134ff3c332f>
    <TaxCatchAll xmlns="5a986d38-b7b2-4108-a3f5-3bb753180ee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29FC603D5D9BCD4CA0BD1F741795CA1A" ma:contentTypeVersion="11" ma:contentTypeDescription="Crear nuevo documento." ma:contentTypeScope="" ma:versionID="e56ca9a5f7e20363df024dbf7ced3b35">
  <xsd:schema xmlns:xsd="http://www.w3.org/2001/XMLSchema" xmlns:xs="http://www.w3.org/2001/XMLSchema" xmlns:p="http://schemas.microsoft.com/office/2006/metadata/properties" xmlns:ns2="f8a9dd8d-4e54-4308-9e0b-21fd1a2e4809" xmlns:ns3="5a986d38-b7b2-4108-a3f5-3bb753180eef" targetNamespace="http://schemas.microsoft.com/office/2006/metadata/properties" ma:root="true" ma:fieldsID="ace1631d24b16f9c9589e8ae4f8b5387" ns2:_="" ns3:_="">
    <xsd:import namespace="f8a9dd8d-4e54-4308-9e0b-21fd1a2e4809"/>
    <xsd:import namespace="5a986d38-b7b2-4108-a3f5-3bb753180e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a9dd8d-4e54-4308-9e0b-21fd1a2e48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14d6b8a-f0f8-4315-aa04-70750182c73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a986d38-b7b2-4108-a3f5-3bb753180ee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baebd87-c80f-44bf-b0e4-4a1624db2216}" ma:internalName="TaxCatchAll" ma:showField="CatchAllData" ma:web="5a986d38-b7b2-4108-a3f5-3bb753180e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528205B-E3B2-47CD-93A7-25524430F234}"/>
</file>

<file path=customXml/itemProps2.xml><?xml version="1.0" encoding="utf-8"?>
<ds:datastoreItem xmlns:ds="http://schemas.openxmlformats.org/officeDocument/2006/customXml" ds:itemID="{2B2C8DAB-5969-4151-88ED-43555D9916EB}"/>
</file>

<file path=customXml/itemProps3.xml><?xml version="1.0" encoding="utf-8"?>
<ds:datastoreItem xmlns:ds="http://schemas.openxmlformats.org/officeDocument/2006/customXml" ds:itemID="{760EF292-11AC-4A88-97EA-E4F1F0D529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Sergio Romero</dc:creator>
  <cp:keywords/>
  <dc:description/>
  <cp:lastModifiedBy/>
  <cp:revision/>
  <dcterms:created xsi:type="dcterms:W3CDTF">2020-02-11T23:48:14Z</dcterms:created>
  <dcterms:modified xsi:type="dcterms:W3CDTF">2026-04-21T19:35:45Z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0x01010029FC603D5D9BCD4CA0BD1F741795CA1A</vt:lpwstr>
  </property>
  <property fmtid="{D5CDD505-2E9C-101B-9397-08002B2CF9AE}" pid="3" name="MediaServiceImageTags">
    <vt:lpwstr/>
  </property>
</Properties>
</file>